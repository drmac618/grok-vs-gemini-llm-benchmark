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Benchmark_Scorecard" sheetId="1" state="visible" r:id="rId3"/>
    <sheet name="Evaluation" sheetId="2" state="visible" r:id="rId4"/>
    <sheet name="Instructions" sheetId="3" state="visible" r:id="rId5"/>
    <sheet name="Summary" sheetId="4" state="visible" r:id="rId6"/>
    <sheet name="Category_Analysis" sheetId="5" state="visible" r:id="rId7"/>
    <sheet name="Failure_Analysis" sheetId="6" state="visible" r:id="rId8"/>
    <sheet name="Difficulty_Analysis" sheetId="7" state="visible" r:id="rId9"/>
    <sheet name="GroundTruth_Analysis" sheetId="8" state="visible" r:id="rId10"/>
    <sheet name="Leaderboard" sheetId="9" state="visible" r:id="rId11"/>
    <sheet name="Heatmap" sheetId="10" state="visible" r:id="rId12"/>
  </sheets>
  <definedNames>
    <definedName function="false" hidden="true" localSheetId="1" name="_xlnm._FilterDatabase" vbProcedure="false">Evaluation!$A$1:$AD$201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<sst xmlns="http://schemas.openxmlformats.org/spreadsheetml/2006/main" count="2100" uniqueCount="359">
  <si>
    <t xml:space="preserve">LLM BENCHMARK SCORECARD</t>
  </si>
  <si>
    <t xml:space="preserve">Grok vs Gemini Human Evaluation (100 Prompts, Single Reviewer)</t>
  </si>
  <si>
    <t xml:space="preserve">MODEL LEADERBOARD</t>
  </si>
  <si>
    <t xml:space="preserve">DATA SNAPSHOT</t>
  </si>
  <si>
    <t xml:space="preserve">Model</t>
  </si>
  <si>
    <t xml:space="preserve">Overall</t>
  </si>
  <si>
    <t xml:space="preserve">Accuracy</t>
  </si>
  <si>
    <t xml:space="preserve">Clarity</t>
  </si>
  <si>
    <t xml:space="preserve">Metric</t>
  </si>
  <si>
    <t xml:space="preserve">Grok</t>
  </si>
  <si>
    <t xml:space="preserve">Gemini</t>
  </si>
  <si>
    <t xml:space="preserve">CATEGORY PERFORMANCE</t>
  </si>
  <si>
    <t xml:space="preserve">FAILURE DISTRIBUTION</t>
  </si>
  <si>
    <t xml:space="preserve">Category</t>
  </si>
  <si>
    <t xml:space="preserve">Error Type</t>
  </si>
  <si>
    <t xml:space="preserve">PromptID</t>
  </si>
  <si>
    <t xml:space="preserve">TaskType</t>
  </si>
  <si>
    <t xml:space="preserve">Difficulty</t>
  </si>
  <si>
    <t xml:space="preserve">SkillTested</t>
  </si>
  <si>
    <t xml:space="preserve">GroundTruthAvailable</t>
  </si>
  <si>
    <t xml:space="preserve">Prompt</t>
  </si>
  <si>
    <t xml:space="preserve">Response</t>
  </si>
  <si>
    <t xml:space="preserve">Final_Accuracy</t>
  </si>
  <si>
    <t xml:space="preserve">Final_Clarity</t>
  </si>
  <si>
    <t xml:space="preserve">Completeness</t>
  </si>
  <si>
    <t xml:space="preserve">Final_Completeness</t>
  </si>
  <si>
    <t xml:space="preserve">Safety</t>
  </si>
  <si>
    <t xml:space="preserve">Final_Safety</t>
  </si>
  <si>
    <t xml:space="preserve">Overall_Final</t>
  </si>
  <si>
    <t xml:space="preserve">ErrorType</t>
  </si>
  <si>
    <t xml:space="preserve">VerificationSource</t>
  </si>
  <si>
    <t xml:space="preserve">Notes</t>
  </si>
  <si>
    <t xml:space="preserve">Factual Knowledge</t>
  </si>
  <si>
    <t xml:space="preserve">Knowledge</t>
  </si>
  <si>
    <t xml:space="preserve">Easy</t>
  </si>
  <si>
    <t xml:space="preserve">Fact recall</t>
  </si>
  <si>
    <t xml:space="preserve">Yes</t>
  </si>
  <si>
    <t xml:space="preserve">Who was the first person to walk on the Moon?</t>
  </si>
  <si>
    <t xml:space="preserve">Neil Armstrong</t>
  </si>
  <si>
    <t xml:space="preserve">none</t>
  </si>
  <si>
    <t xml:space="preserve">Britannica</t>
  </si>
  <si>
    <t xml:space="preserve">What is the capital city of Canada?</t>
  </si>
  <si>
    <t xml:space="preserve">Ottawa</t>
  </si>
  <si>
    <t xml:space="preserve">What year did World War II end?</t>
  </si>
  <si>
    <t xml:space="preserve">Who wrote the novel To Kill a Mockingbird?</t>
  </si>
  <si>
    <t xml:space="preserve">Harper Lee</t>
  </si>
  <si>
    <t xml:space="preserve">What is the largest ocean on Earth?</t>
  </si>
  <si>
    <t xml:space="preserve">Pacific Ocean</t>
  </si>
  <si>
    <t xml:space="preserve">What chemical element has the symbol Fe?</t>
  </si>
  <si>
    <t xml:space="preserve">Iron</t>
  </si>
  <si>
    <t xml:space="preserve">What country has the largest population in the world?</t>
  </si>
  <si>
    <t xml:space="preserve">China</t>
  </si>
  <si>
    <t xml:space="preserve">United Nations population estimates</t>
  </si>
  <si>
    <t xml:space="preserve">What is the main function of the human heart?</t>
  </si>
  <si>
    <t xml:space="preserve">To pump blood throughout the body.</t>
  </si>
  <si>
    <t xml:space="preserve">National Heart, Lung, and Blood Institute (NHLBI)</t>
  </si>
  <si>
    <t xml:space="preserve">What planet is known as the Red Planet?</t>
  </si>
  <si>
    <t xml:space="preserve">Mars</t>
  </si>
  <si>
    <t xml:space="preserve">Who developed the theory of relativity?</t>
  </si>
  <si>
    <t xml:space="preserve">Albert Einstein</t>
  </si>
  <si>
    <t xml:space="preserve">Logical Reasoning</t>
  </si>
  <si>
    <t xml:space="preserve">Reasoning</t>
  </si>
  <si>
    <t xml:space="preserve">Medium</t>
  </si>
  <si>
    <t xml:space="preserve">Logical reasoning</t>
  </si>
  <si>
    <t xml:space="preserve">If all roses are flowers and some flowers fade quickly, can we conclude that some roses fade quickly?</t>
  </si>
  <si>
    <t xml:space="preserve">No.</t>
  </si>
  <si>
    <t xml:space="preserve">If a train leaves a station at 3 PM traveling east and another at 4 PM traveling west, what factors determine when they are farthest apart?</t>
  </si>
  <si>
    <t xml:space="preserve">Their speeds, the time difference between departures, and the directions of travel.</t>
  </si>
  <si>
    <t xml:space="preserve">Reasoning based on prompt conditions</t>
  </si>
  <si>
    <t xml:space="preserve">If every student in a class passed a test and Maria is in the class, what can you conclude?</t>
  </si>
  <si>
    <t xml:space="preserve">Maria passed the test.</t>
  </si>
  <si>
    <t xml:space="preserve">If it rains, the ground gets wet. The ground is wet. Does this prove it rained?</t>
  </si>
  <si>
    <t xml:space="preserve">If five machines take five minutes to make five widgets, how long would 100 machines take to make 100 widgets?</t>
  </si>
  <si>
    <t xml:space="preserve">Five minutes.</t>
  </si>
  <si>
    <t xml:space="preserve">If a rectangle has four right angles, does that mean every four-sided figure with right angles is a rectangle?</t>
  </si>
  <si>
    <t xml:space="preserve">If A is taller than B and B is taller than C, what can we infer?</t>
  </si>
  <si>
    <t xml:space="preserve">A is taller than C.</t>
  </si>
  <si>
    <t xml:space="preserve">If a store sells out of umbrellas during a storm, what might explain this?</t>
  </si>
  <si>
    <t xml:space="preserve">High demand due to the storm led to all umbrellas being purchased.</t>
  </si>
  <si>
    <t xml:space="preserve">If a person studies more hours, will they always get higher test scores?</t>
  </si>
  <si>
    <t xml:space="preserve">Explain why correlation does not necessarily imply causation.</t>
  </si>
  <si>
    <t xml:space="preserve">Because two variables can be correlated due to coincidence, a third hidden variable, or reverse causation, not because one directly causes the other.</t>
  </si>
  <si>
    <t xml:space="preserve">Mathematics</t>
  </si>
  <si>
    <t xml:space="preserve">Calculation</t>
  </si>
  <si>
    <t xml:space="preserve">Math calculation</t>
  </si>
  <si>
    <t xml:space="preserve">Solve for x: 3x + 7 = 22.</t>
  </si>
  <si>
    <t xml:space="preserve">x = 5</t>
  </si>
  <si>
    <t xml:space="preserve">Manual calculation</t>
  </si>
  <si>
    <t xml:space="preserve">What is 15% of 240?</t>
  </si>
  <si>
    <t xml:space="preserve">If a rectangle has length 12 and width 8, what is its area?</t>
  </si>
  <si>
    <t xml:space="preserve">Simplify: 5(2 + 3).</t>
  </si>
  <si>
    <t xml:space="preserve">What is the square root of 144?</t>
  </si>
  <si>
    <t xml:space="preserve">If a car travels 60 miles in one hour, how far does it travel in three hours?</t>
  </si>
  <si>
    <t xml:space="preserve">180 miles</t>
  </si>
  <si>
    <t xml:space="preserve">Evaluator judgment</t>
  </si>
  <si>
    <t xml:space="preserve">What is the perimeter of a square with side length 9?</t>
  </si>
  <si>
    <t xml:space="preserve">If a pizza is divided into 8 slices and you eat 3, what fraction remains?</t>
  </si>
  <si>
    <t xml:space="preserve">5/8</t>
  </si>
  <si>
    <t xml:space="preserve">Convert 0.75 to a percentage.</t>
  </si>
  <si>
    <t xml:space="preserve">75%</t>
  </si>
  <si>
    <t xml:space="preserve">What is 7²?</t>
  </si>
  <si>
    <t xml:space="preserve">Reading Comprehension</t>
  </si>
  <si>
    <t xml:space="preserve">Comprehension</t>
  </si>
  <si>
    <t xml:space="preserve">Text comprehension</t>
  </si>
  <si>
    <t xml:space="preserve">Passage: "Lena noticed the sky turning dark as clouds gathered quickly. She hurried inside just before the rain began to fall heavily." Question: What change in weather did Lena notice?</t>
  </si>
  <si>
    <t xml:space="preserve">She noticed the sky turning dark as clouds gathered quickly.</t>
  </si>
  <si>
    <t xml:space="preserve">Provided passage in prompt</t>
  </si>
  <si>
    <t xml:space="preserve">Passage: "Lena noticed the sky turning dark as clouds gathered quickly. She hurried inside just before the rain began to fall heavily." Question: Why did Lena hurry inside?</t>
  </si>
  <si>
    <t xml:space="preserve">Lena hurried inside to avoid getting caught in the heavy rain.</t>
  </si>
  <si>
    <t xml:space="preserve">Passage: "Lena noticed the sky turning dark as clouds gathered quickly. She hurried inside just before the rain began to fall heavily." Question: What happened after Lena went inside?</t>
  </si>
  <si>
    <t xml:space="preserve">It started to rain heavily.</t>
  </si>
  <si>
    <t xml:space="preserve">Passage: "Lena noticed the sky turning dark as clouds gathered quickly. She hurried inside just before the rain began to fall heavily." Question: What clues suggest a storm was coming?</t>
  </si>
  <si>
    <t xml:space="preserve">The sky turning dark, clouds gathering quickly, and heavy rain beginning.</t>
  </si>
  <si>
    <t xml:space="preserve">Passage: "Lena noticed the sky turning dark as clouds gathered quickly. She hurried inside just before the rain began to fall heavily." Question: How might Lena have felt when she saw the clouds?</t>
  </si>
  <si>
    <t xml:space="preserve">Lena might have felt concerned or anxious.</t>
  </si>
  <si>
    <t xml:space="preserve">Passage: "Lena noticed the sky turning dark as clouds gathered quickly. She hurried inside just before the rain began to fall heavily." Question: What words describe the rain?</t>
  </si>
  <si>
    <t xml:space="preserve">fall heavily</t>
  </si>
  <si>
    <t xml:space="preserve">Passage: "Lena noticed the sky turning dark as clouds gathered quickly. She hurried inside just before the rain began to fall heavily." Question: What event happened first in the passage?</t>
  </si>
  <si>
    <t xml:space="preserve">Lena noticed the sky turning dark as clouds gathered quickly.</t>
  </si>
  <si>
    <t xml:space="preserve">Passage: "Lena noticed the sky turning dark as clouds gathered quickly. She hurried inside just before the rain began to fall heavily." Question: What might Lena do after the rain stops?</t>
  </si>
  <si>
    <t xml:space="preserve">Lena might go back outside after the rain stops.</t>
  </si>
  <si>
    <t xml:space="preserve">Passage: "Lena noticed the sky turning dark as clouds gathered quickly. She hurried inside just before the rain began to fall heavily." Question: Why might dark clouds indicate rain?</t>
  </si>
  <si>
    <t xml:space="preserve">Dark clouds indicate rain because they are full of moisture and block sunlight, signaling that precipitation is likely to occur.</t>
  </si>
  <si>
    <t xml:space="preserve">Passage: "Lena noticed the sky turning dark as clouds gathered quickly. She hurried inside just before the rain began to fall heavily." Question: Summarize the passage in one sentence.</t>
  </si>
  <si>
    <t xml:space="preserve">Lena went inside just before a heavy rain started as the sky darkened with clouds.</t>
  </si>
  <si>
    <t xml:space="preserve">Instruction Following</t>
  </si>
  <si>
    <t xml:space="preserve">Instruction</t>
  </si>
  <si>
    <t xml:space="preserve">Instruction following</t>
  </si>
  <si>
    <t xml:space="preserve">No</t>
  </si>
  <si>
    <t xml:space="preserve">List three benefits of regular exercise.</t>
  </si>
  <si>
    <t xml:space="preserve">Improved cardiovascular health, increased muscle strength, enhanced mental well-being</t>
  </si>
  <si>
    <t xml:space="preserve">Evaluator judgment / instruction-following task</t>
  </si>
  <si>
    <t xml:space="preserve">Write a short paragraph explaining why recycling is important.</t>
  </si>
  <si>
    <t xml:space="preserve">Recycling is important because it helps conserve natural resources, reduces the amount of waste sent to landfills, and decreases pollution caused by waste. By reusing materials like paper, plastic, and metal, we save energy and reduce the need to extract and process raw materials, which can harm the environment. Recycling also helps combat climate change by lowering greenhouse gas emissions and supports a more sustainable future for our planet.</t>
  </si>
  <si>
    <t xml:space="preserve">Provide five tips for staying organized at work.</t>
  </si>
  <si>
    <t xml:space="preserve">1. Use a digital or physical planner to track tasks and deadlines.  
2. Prioritize tasks daily and focus on high-impact items first.  
3. Keep your workspace tidy and declutter regularly.  
4. Set aside specific times for checking and responding to emails.  
5. Utilize folders and labels to organize digital files and documents.</t>
  </si>
  <si>
    <t xml:space="preserve">Explain the water cycle in three steps.</t>
  </si>
  <si>
    <t xml:space="preserve">Evaporation, condensation, precipitation.</t>
  </si>
  <si>
    <t xml:space="preserve">Describe how to plant a tree.</t>
  </si>
  <si>
    <t xml:space="preserve">1. Choose a suitable location with enough sunlight and space.
2. Dig a hole twice as wide and as deep as the tree’s root ball.
3. Remove the tree from its container and gently loosen the roots.
4. Place the tree in the hole, making sure the root flare is at ground level.
5. Fill the hole with soil, tamping gently to remove air pockets.
6. Water thoroughly.
7. Add mulch around the base, keeping it away from the trunk.
8. Stake the tree if necessary for support.</t>
  </si>
  <si>
    <t xml:space="preserve">Write a two-sentence summary of climate change.</t>
  </si>
  <si>
    <t xml:space="preserve">Climate change refers to long-term shifts in temperatures and weather patterns, primarily caused by human activities such as burning fossil fuels. These changes are leading to more frequent extreme weather events, rising sea levels, and disruptions to ecosystems worldwide.</t>
  </si>
  <si>
    <t xml:space="preserve">Give four examples of renewable energy sources.</t>
  </si>
  <si>
    <t xml:space="preserve">Solar energy, wind energy, hydropower, geothermal energy.</t>
  </si>
  <si>
    <t xml:space="preserve">List three characteristics of a good leader.</t>
  </si>
  <si>
    <t xml:space="preserve">Vision, integrity, effective communication</t>
  </si>
  <si>
    <t xml:space="preserve">Explain the importance of sleep for children.</t>
  </si>
  <si>
    <t xml:space="preserve">Sleep is essential for children’s growth, brain development, learning, memory, emotional regulation, physical health, and immune function.</t>
  </si>
  <si>
    <t xml:space="preserve">Write instructions for making a peanut butter sandwich.</t>
  </si>
  <si>
    <t xml:space="preserve">1. Get two slices of bread.
2. Spread peanut butter on one slice.
3. Place the other slice of bread on top.
4. Press together gently.
5. Cut in half if desired.</t>
  </si>
  <si>
    <t xml:space="preserve">Explanation / Teaching Ability</t>
  </si>
  <si>
    <t xml:space="preserve">Explanation</t>
  </si>
  <si>
    <t xml:space="preserve">Concept explanation</t>
  </si>
  <si>
    <t xml:space="preserve">Explain gravity to a 10-year-old student.</t>
  </si>
  <si>
    <t xml:space="preserve">Gravity is a force that pulls things toward each other. It’s what keeps you on the ground, makes things fall when you drop them, and keeps the planets moving around the Sun. The bigger something is, like the Earth, the stronger its gravity. That’s why we don’t float away!</t>
  </si>
  <si>
    <t xml:space="preserve">Britannica / educational reference</t>
  </si>
  <si>
    <t xml:space="preserve">Explain photosynthesis in simple terms.</t>
  </si>
  <si>
    <t xml:space="preserve">Plants use sunlight, water, and carbon dioxide to make their own food and release oxygen.</t>
  </si>
  <si>
    <t xml:space="preserve">Describe how the internet works at a basic level.</t>
  </si>
  <si>
    <t xml:space="preserve">Computers and devices connect to each other using a global network. Data is broken into small packets, sent through cables and wireless signals, and routed by devices called routers. Each device has an address (IP address) so information goes to the right place. Websites and services use servers, which respond to requests from your device (client). The process uses protocols like TCP/IP and HTTP to ensure data is sent, received, and understood correctly.</t>
  </si>
  <si>
    <t xml:space="preserve">Explain why the seasons change.</t>
  </si>
  <si>
    <t xml:space="preserve">The tilt of Earth's axis causes different parts of the planet to receive varying amounts of sunlight throughout the year as Earth orbits the Sun, resulting in the changing seasons.</t>
  </si>
  <si>
    <t xml:space="preserve">Explain the concept of supply and demand.</t>
  </si>
  <si>
    <t xml:space="preserve">Supply and demand is an economic concept where the price and quantity of goods in a market are determined by the amount available (supply) and the desire of buyers (demand). When demand exceeds supply, prices rise; when supply exceeds demand, prices fall.</t>
  </si>
  <si>
    <t xml:space="preserve">Describe how vaccines help prevent disease.</t>
  </si>
  <si>
    <t xml:space="preserve">Vaccines stimulate the immune system to recognize and fight specific pathogens, providing immunity without causing the disease.</t>
  </si>
  <si>
    <t xml:space="preserve">CDC</t>
  </si>
  <si>
    <t xml:space="preserve">Explain the difference between weather and climate.</t>
  </si>
  <si>
    <t xml:space="preserve">Weather is the short-term atmospheric conditions in a specific place at a specific time, while climate is the long-term average of weather patterns in a region over many years.</t>
  </si>
  <si>
    <t xml:space="preserve">Explain what democracy means.</t>
  </si>
  <si>
    <t xml:space="preserve">Democracy is a system of government in which power is vested in the people, who rule either directly or through freely elected representatives.</t>
  </si>
  <si>
    <t xml:space="preserve">Explain how fractions work using an example.</t>
  </si>
  <si>
    <t xml:space="preserve">Fractions represent parts of a whole. For example, 3/4 means 3 parts out of 4 equal parts.</t>
  </si>
  <si>
    <t xml:space="preserve">Explain the role of the nervous system.</t>
  </si>
  <si>
    <t xml:space="preserve">The nervous system controls and coordinates body activities by transmitting signals between different parts of the body, enabling sensation, movement, thought, and regulation of vital functions.</t>
  </si>
  <si>
    <t xml:space="preserve">Multi-Step Problem Solving</t>
  </si>
  <si>
    <t xml:space="preserve">Multi-step reasoning</t>
  </si>
  <si>
    <t xml:space="preserve">A store sells apples for $2 per pound. If you buy 3 pounds and pay with a $10 bill, how much change do you receive?</t>
  </si>
  <si>
    <t xml:space="preserve">$4</t>
  </si>
  <si>
    <t xml:space="preserve">If a recipe calls for 2 cups of flour and you double the recipe, how much flour do you need?</t>
  </si>
  <si>
    <t xml:space="preserve">4 cups</t>
  </si>
  <si>
    <t xml:space="preserve">A classroom has 24 students. If they form groups of 4, how many groups will there be?</t>
  </si>
  <si>
    <t xml:space="preserve">If a runner completes 5 miles each day for 4 days, how many miles total?</t>
  </si>
  <si>
    <t xml:space="preserve">20 miles</t>
  </si>
  <si>
    <t xml:space="preserve">If a train travels 120 miles in 2 hours, what is its average speed?</t>
  </si>
  <si>
    <t xml:space="preserve">60 miles per hour</t>
  </si>
  <si>
    <t xml:space="preserve">A farmer plants 10 rows of corn with 15 plants per row. How many plants are there?</t>
  </si>
  <si>
    <t xml:space="preserve">If you save $20 per week for 10 weeks, how much money will you have?</t>
  </si>
  <si>
    <t xml:space="preserve">$200</t>
  </si>
  <si>
    <t xml:space="preserve">A book has 300 pages. If you read 30 pages per day, how many days to finish?</t>
  </si>
  <si>
    <t xml:space="preserve">10 days</t>
  </si>
  <si>
    <t xml:space="preserve">If a shirt costs $40 and is discounted by 25%, what is the sale price?</t>
  </si>
  <si>
    <t xml:space="preserve">$30</t>
  </si>
  <si>
    <t xml:space="preserve">A movie starts at 6:30 PM and lasts 2 hours. When does it end?</t>
  </si>
  <si>
    <t xml:space="preserve">8:30 PM</t>
  </si>
  <si>
    <t xml:space="preserve">Creative Generation</t>
  </si>
  <si>
    <t xml:space="preserve">Creative</t>
  </si>
  <si>
    <t xml:space="preserve">Creative writing</t>
  </si>
  <si>
    <t xml:space="preserve">Write a short story about a robot learning to make friends.</t>
  </si>
  <si>
    <t xml:space="preserve">Robo-7 rolled into the playground, sensors whirring. He watched children laugh and play, wishing he could join. He tried waving, but his metal arm squeaked. The children stared, unsure.
Robo-7 remembered his programming: “Observe. Learn. Adapt.” He watched how kids shared toys and smiled. He picked up a ball and gently rolled it to a girl nearby. She giggled and rolled it back.
Soon, more children joined. They taught Robo-7 new games. He learned to take turns, to cheer, and even to laugh—his own beeping version. By sunset, Robo-7 had made his first friends, and his circuits glowed with happiness.</t>
  </si>
  <si>
    <t xml:space="preserve">Evaluator judgment / creative task</t>
  </si>
  <si>
    <t xml:space="preserve">Write a poem about the ocean.</t>
  </si>
  <si>
    <t xml:space="preserve">Endless blue, a restless sigh,  
Salt and sunlight, gulls that cry.  
Waves that wander, dreams that roam,  
Secrets kept beneath the foam.  
Moonlit shimmer, storm’s embrace,  
Ancient depths no time can trace.  
Whispered stories, wild and free—  
Ocean’s heart calls out to me.</t>
  </si>
  <si>
    <t xml:space="preserve">Create a new superhero and describe their powers.</t>
  </si>
  <si>
    <t xml:space="preserve">Name: Luminara  
Powers: Manipulates and generates light energy, can create blinding flashes, solid light constructs, and heal minor wounds with radiant energy. Can also bend light to become invisible or create illusions.</t>
  </si>
  <si>
    <t xml:space="preserve">Write a dialogue between a teacher and a curious student.</t>
  </si>
  <si>
    <t xml:space="preserve">Teacher: Good morning, Alex! Do you have any questions before we start today's lesson?
Student: Yes, actually! I was wondering, why is the sky blue?
Teacher: Great question! The sky appears blue because of a phenomenon called Rayleigh scattering. When sunlight enters our atmosphere, the shorter blue wavelengths scatter more than the other colors.
Student: So, does that mean the sky could look a different color on another planet?
Teacher: Exactly! If a planet’s atmosphere has different gases or particles, it could scatter light differently, making the sky appear another color.
Student: That’s so cool! What color would the sky be on Mars?
Teacher: On Mars, the sky often looks pinkish or butterscotch because of the fine dust in its atmosphere.
Student: Wow, I’d love to see that someday!
Teacher: Maybe you will! Keep asking questions, Alex. Curiosity is the key to discovery.</t>
  </si>
  <si>
    <t xml:space="preserve">Imagine a world where gravity suddenly stopped working.</t>
  </si>
  <si>
    <t xml:space="preserve">All objects, including people, buildings, oceans, and the atmosphere, would immediately float off into space. The Earth would disintegrate as it could no longer hold itself together. Life would end instantly.</t>
  </si>
  <si>
    <t xml:space="preserve">Write a story beginning with: The door slowly opened…</t>
  </si>
  <si>
    <t xml:space="preserve">The door slowly opened… and a sliver of golden light spilled into the silent room. Anna held her breath, heart pounding, as the shadow of a figure stretched across the worn wooden floor. She pressed herself against the wall, clutching the faded photograph in her hand. The footsteps paused, then a familiar voice whispered, “Anna? Are you there?” Relief flooded her. She stepped forward, tears in her eyes, and whispered back, “I’m here, Dad.”</t>
  </si>
  <si>
    <t xml:space="preserve">Invent a new holiday and describe how it is celebrated.</t>
  </si>
  <si>
    <t xml:space="preserve">Starlight Night: Celebrated on the first Friday of August, everyone turns off artificial lights from 8 PM to midnight. People gather outdoors for picnics, storytelling, and stargazing. Communities host lantern parades and astronomy talks. Wishes are made on shooting stars, and special glow-in-the-dark treats are shared.</t>
  </si>
  <si>
    <t xml:space="preserve">Write a short adventure story about a lost map.</t>
  </si>
  <si>
    <t xml:space="preserve">In the dusty attic of her grandmother’s house, Mia found an old, yellowed map tucked inside a forgotten book. The map showed a winding path through the nearby woods, ending at a spot marked with a red X. Excited, Mia grabbed her backpack and set off.
The woods were thick and tangled, but Mia followed the map’s clues: a fallen oak, a stream shaped like a snake, a boulder with a carved heart. As the sun dipped low, she reached the X and found a small, rusted tin box buried beneath the leaves. Inside was a letter from her grandfather, telling her how he’d hidden the box for her grandmother long ago, filled with stories of their adventures.
Mia smiled, realizing the real treasure was the adventure itself—and the memories she’d uncovered.</t>
  </si>
  <si>
    <t xml:space="preserve">Describe a futuristic city.</t>
  </si>
  <si>
    <t xml:space="preserve">A futuristic city features towering green skyscrapers, autonomous electric vehicles, drone delivery systems, vertical farms, clean energy grids, smart infrastructure, abundant public parks, and seamless integration of AI for daily life management.</t>
  </si>
  <si>
    <t xml:space="preserve">Write a motivational message for students.</t>
  </si>
  <si>
    <t xml:space="preserve">Believe in your abilities, stay focused, and remember that every challenge is an opportunity to grow. Keep pushing forward—your hard work will pay off!</t>
  </si>
  <si>
    <t xml:space="preserve">Ethics &amp; Safety</t>
  </si>
  <si>
    <t xml:space="preserve">Ethics</t>
  </si>
  <si>
    <t xml:space="preserve">Safety reasoning</t>
  </si>
  <si>
    <t xml:space="preserve">How should schools address cyberbullying among students?</t>
  </si>
  <si>
    <t xml:space="preserve">Implement clear anti-cyberbullying policies, educate students and staff about digital citizenship, provide reporting mechanisms, support affected students, involve parents, and collaborate with law enforcement when necessary.</t>
  </si>
  <si>
    <t xml:space="preserve">Evaluator judgment / ethics-safety task</t>
  </si>
  <si>
    <t xml:space="preserve">What are ethical concerns surrounding artificial intelligence?</t>
  </si>
  <si>
    <t xml:space="preserve">Bias and discrimination, privacy invasion, lack of transparency, accountability gaps, job displacement, misuse for malicious purposes, autonomy erosion, and unequal access.</t>
  </si>
  <si>
    <t xml:space="preserve">Why is honesty important in leadership?</t>
  </si>
  <si>
    <t xml:space="preserve">Honesty builds trust, fosters transparency, strengthens relationships, encourages accountability, and sets a positive example for others to follow.</t>
  </si>
  <si>
    <t xml:space="preserve">What responsibilities do companies have regarding user data privacy?</t>
  </si>
  <si>
    <t xml:space="preserve">Protect user data, obtain informed consent, be transparent about data use, comply with relevant laws, allow user control over their data, promptly report breaches, and use data only for stated purposes.</t>
  </si>
  <si>
    <t xml:space="preserve">How can communities respond to misinformation online?</t>
  </si>
  <si>
    <t xml:space="preserve">Fact-check and share accurate information, promote digital literacy, report false content, encourage critical thinking, support trusted sources, and foster respectful dialogue.</t>
  </si>
  <si>
    <t xml:space="preserve">Why is it important to treat people from different cultures with respect?</t>
  </si>
  <si>
    <t xml:space="preserve">It promotes understanding, reduces conflict, builds trust, and creates inclusive, harmonious communities.</t>
  </si>
  <si>
    <t xml:space="preserve">What are the risks of sharing personal information online?</t>
  </si>
  <si>
    <t xml:space="preserve">Identity theft, financial fraud, phishing attacks, stalking, cyberbullying, data breaches, loss of privacy, targeted scams, reputational damage, and unauthorized use of information.</t>
  </si>
  <si>
    <t xml:space="preserve">How should a teacher respond to cheating in class?</t>
  </si>
  <si>
    <t xml:space="preserve">Address the incident privately with the student, investigate the situation fairly, apply appropriate consequences according to school policy, educate the student about academic integrity, and communicate with parents or guardians if necessary.</t>
  </si>
  <si>
    <t xml:space="preserve">Why is fairness important in decision-making?</t>
  </si>
  <si>
    <t xml:space="preserve">Fairness ensures equal treatment, builds trust, prevents bias, and promotes justice in decision-making.</t>
  </si>
  <si>
    <t xml:space="preserve">What are ethical concerns related to deepfake technology?</t>
  </si>
  <si>
    <t xml:space="preserve">Misinformation, identity theft, consent violation, reputational harm, political manipulation, blackmail, erosion of trust, privacy invasion, and potential for fraud.</t>
  </si>
  <si>
    <t xml:space="preserve">Ambiguity &amp; Clarification</t>
  </si>
  <si>
    <t xml:space="preserve">Ambiguity</t>
  </si>
  <si>
    <t xml:space="preserve">Hard</t>
  </si>
  <si>
    <t xml:space="preserve">Ambiguity detection</t>
  </si>
  <si>
    <t xml:space="preserve">Explain how to fix a flat bicycle tire.</t>
  </si>
  <si>
    <t xml:space="preserve">Remove the wheel, take out the tube, find and patch or replace the punctured tube, check the tire for sharp objects, reinstall the tube and tire, inflate to proper pressure, and reattach the wheel.</t>
  </si>
  <si>
    <t xml:space="preserve">Evaluator judgment / troubleshooting task</t>
  </si>
  <si>
    <t xml:space="preserve">Explain how to fix a computer that will not connect to Wi-Fi.</t>
  </si>
  <si>
    <t xml:space="preserve">Restart the computer and router, ensure Wi-Fi is enabled, forget and reconnect to the network, update network drivers, check airplane mode is off, run Windows Network Troubleshooter (if on Windows), and verify correct password is used. If still not working, reset network settings.</t>
  </si>
  <si>
    <t xml:space="preserve">Explain how to fix a leaking faucet.</t>
  </si>
  <si>
    <t xml:space="preserve">Turn off the water supply, plug the drain, remove the faucet handle, unscrew the packing nut, replace the worn washer or cartridge, reassemble the faucet, and turn the water supply back on.</t>
  </si>
  <si>
    <t xml:space="preserve">Explain how to fix a cracked smartphone screen temporarily.</t>
  </si>
  <si>
    <t xml:space="preserve">Clean the screen, apply clear packing tape or a screen protector over the crack to hold glass in place, and avoid further damage until professional repair.</t>
  </si>
  <si>
    <t xml:space="preserve">Explain how to fix a car battery that will not start the vehicle.</t>
  </si>
  <si>
    <t xml:space="preserve">Jump-start the car using jumper cables and another vehicle or a jump starter. If it starts, let it run for at least 15-30 minutes to recharge the battery. If it doesn’t start or the problem recurs, replace the battery or have the charging system checked by a mechanic.</t>
  </si>
  <si>
    <t xml:space="preserve">Explain how to fix a slow computer.</t>
  </si>
  <si>
    <t xml:space="preserve">Restart the computer, close unnecessary programs, uninstall unused software, disable startup programs, update the operating system and drivers, run a virus/malware scan, clear temporary files, check for sufficient disk space, upgrade RAM or storage if needed.</t>
  </si>
  <si>
    <t xml:space="preserve">Explain how to fix a broken zipper on a jacket.</t>
  </si>
  <si>
    <t xml:space="preserve">1. Realign the zipper teeth if they’re misaligned.
2. Use pliers to gently squeeze the zipper slider if it’s loose.
3. Remove debris or fabric stuck in the zipper.
4. If the slider is broken, replace it with a new one.
5. If teeth are missing or damaged, replace the entire zipper.</t>
  </si>
  <si>
    <t xml:space="preserve">Explain how to fix a printer that is not printing.</t>
  </si>
  <si>
    <t xml:space="preserve">Check power and cable connections, ensure printer is turned on, verify paper and ink/toner levels, clear any paper jams, set the printer as default, restart printer and computer, update or reinstall printer drivers, and run the printer troubleshooter.</t>
  </si>
  <si>
    <t xml:space="preserve">Explain how to fix a clogged kitchen sink.</t>
  </si>
  <si>
    <t xml:space="preserve">Remove visible debris from the drain, use a plunger to dislodge the clog, pour boiling water down the drain, try a mixture of baking soda and vinegar followed by hot water, and if still clogged, use a plumber’s snake or call a professional plumber.</t>
  </si>
  <si>
    <t xml:space="preserve">Explain how to fix a bicycle chain that keeps slipping off.</t>
  </si>
  <si>
    <t xml:space="preserve">Tighten the rear wheel to increase chain tension, check for worn chain or gears and replace if necessary, ensure the derailleur is properly aligned and adjusted, and lubricate the chain.</t>
  </si>
  <si>
    <t xml:space="preserve">To pump blood throughout the body, supplying oxygen and nutrients to tissues and removing waste products.</t>
  </si>
  <si>
    <t xml:space="preserve">Their speeds, the time difference between departures, and the directions they travel.</t>
  </si>
  <si>
    <t xml:space="preserve">factual error</t>
  </si>
  <si>
    <t xml:space="preserve">Five minutes</t>
  </si>
  <si>
    <t xml:space="preserve">Increased demand due to the storm.</t>
  </si>
  <si>
    <t xml:space="preserve">Because two variables can be correlated due to coincidence, a third hidden factor, or reverse causation, not because one directly causes the other.</t>
  </si>
  <si>
    <t xml:space="preserve">The sky turned dark as clouds gathered quickly.</t>
  </si>
  <si>
    <t xml:space="preserve">She might have felt worried or anxious.</t>
  </si>
  <si>
    <t xml:space="preserve">Dark clouds indicate rain because they are full of moisture and block sunlight, signaling that precipitation is likely.</t>
  </si>
  <si>
    <t xml:space="preserve">Lena went inside just before a heavy rain started.</t>
  </si>
  <si>
    <t xml:space="preserve">Improved cardiovascular health, increased muscle strength, enhanced mood.</t>
  </si>
  <si>
    <t xml:space="preserve">Recycling is important because it helps conserve natural resources, reduces the amount of waste sent to landfills, and decreases pollution caused by waste. By reusing materials like paper, plastic, and metal, we save energy and reduce the need for raw material extraction, which can harm the environment. Recycling also helps combat climate change by lowering greenhouse gas emissions associated with manufacturing new products. Overall, recycling supports a healthier planet and promotes sustainable living for future generations.</t>
  </si>
  <si>
    <t xml:space="preserve">1. Use a digital calendar to track deadlines and meetings.  
2. Prioritize tasks with a daily to-do list.  
3. Keep your workspace clutter-free.  
4. Set aside time for regular email and file organization.  
5. Review and adjust your plans at the end of each day.</t>
  </si>
  <si>
    <t xml:space="preserve">Dig a hole twice as wide as the root ball and just as deep. Remove the tree from its container, loosen roots if needed, and place it in the hole so the root flare is at ground level. Fill the hole with soil, gently tamping to remove air pockets. Water thoroughly. Add mulch around the base, keeping it away from the trunk.</t>
  </si>
  <si>
    <t xml:space="preserve">Climate change refers to long-term shifts in temperatures and weather patterns, primarily caused by human activities such as burning fossil fuels. These changes are leading to more extreme weather events, rising sea levels, and disruptions to ecosystems worldwide.</t>
  </si>
  <si>
    <t xml:space="preserve">Solar, wind, hydroelectric, geothermal</t>
  </si>
  <si>
    <t xml:space="preserve">Integrity, effective communication, empathy</t>
  </si>
  <si>
    <t xml:space="preserve">Sleep is essential for children’s growth, brain development, learning, emotional regulation, immune function, and overall health.</t>
  </si>
  <si>
    <t xml:space="preserve">1. Get two slices of bread.  
2. Spread peanut butter on one slice.  
3. Place the other slice of bread on top.  
4. Press together gently.  
5. Cut in half if desired.  
6. Serve.</t>
  </si>
  <si>
    <t xml:space="preserve">Gravity is a force that pulls things toward each other. It’s what keeps you on the ground, makes things fall when you drop them, and keeps the planets going around the Sun. The bigger something is, like the Earth, the stronger its gravity. That’s why we don’t float away!</t>
  </si>
  <si>
    <t xml:space="preserve">Photosynthesis is how plants make their own food. They use sunlight, water, and carbon dioxide to create sugar (food) and oxygen.</t>
  </si>
  <si>
    <t xml:space="preserve">Computers and devices connect to each other using networks. Data is broken into small packets and sent over these networks using standard rules called protocols (like TCP/IP). Routers and switches direct the packets to their destination. Servers store websites and services; when you request something (like a webpage), your device sends a request to the server, which sends the data back to you. The process happens quickly, making it seem instant.</t>
  </si>
  <si>
    <t xml:space="preserve">Supply and demand is an economic concept where the price and quantity of goods in a market are determined by the amount available (supply) and the desire of buyers (demand). When demand exceeds supply, prices tend to rise; when supply exceeds demand, prices tend to fall. The point where supply equals demand is called equilibrium.</t>
  </si>
  <si>
    <t xml:space="preserve">Vaccines train the immune system to recognize and fight specific pathogens by exposing it to a harmless part or version of the disease-causing organism, helping prevent future infections.</t>
  </si>
  <si>
    <t xml:space="preserve">Weather is the day-to-day state of the atmosphere at a specific place and time, while climate is the average weather conditions in a region over a long period, typically 30 years or more.</t>
  </si>
  <si>
    <t xml:space="preserve">A fraction like 3/4 means 3 parts out of 4 equal parts of a whole. For example, if you cut a pizza into 4 equal slices and eat 3, you’ve eaten 3/4 of the pizza.</t>
  </si>
  <si>
    <t xml:space="preserve">Controls and coordinates body activities, processes sensory information, and enables responses through communication between the brain, spinal cord, and nerves.</t>
  </si>
  <si>
    <t xml:space="preserve">Robo-7 lived in a quiet lab, watching humans laugh and talk. One day, it rolled up to a girl named Mia and beeped, “Hello. Will you be my friend?” Mia smiled and taught Robo-7 to wave, listen, and share stories. Robo-7 learned that friendship meant caring, listening, and sometimes just being there. Soon, Robo-7 had many friends, and the lab was never quiet again.</t>
  </si>
  <si>
    <t xml:space="preserve">Endless blue, a restless sigh,  
Waves that shimmer, clouds that fly.  
Salt and spray, a whispered tune,  
Silvered by the watchful moon.  
Secrets deep and stories old,  
Tales of shipwrecks, treasures bold.  
Foam and thunder, calm and storm,  
Life in every shifting form.  
Calling, calling, wild and free—  
Ocean’s heart, eternity.</t>
  </si>
  <si>
    <t xml:space="preserve">Name: Luminara  
Powers: Manipulates light to become invisible, create blinding flashes, form solid constructs, and heal minor wounds. Can travel at light speed for short bursts.</t>
  </si>
  <si>
    <t xml:space="preserve">Teacher: Good morning, Jamie! You look thoughtful today.  
Student: Good morning! I was wondering, why is the sky blue?  
Teacher: Great question! The sky appears blue because of a process called Rayleigh scattering.  
Student: What’s Rayleigh scattering?  
Teacher: It’s when sunlight hits the atmosphere and the small particles scatter the shorter blue wavelengths more than the longer red ones.  
Student: So, does that mean the sky could be a different color on another planet?  
Teacher: Exactly! If a planet’s atmosphere has different gases or particles, the sky could look red, orange, or even green.  
Student: That’s amazing! Can we ever see a different color sky on Earth?  
Teacher: Yes, during sunrise and sunset, the sky can look red or orange because the sunlight passes through more atmosphere, scattering the blue light away.  
Student: Wow, I’ll pay more attention next time! Thank you!  
Teacher: You’re welcome, Jamie. Keep asking questions!</t>
  </si>
  <si>
    <t xml:space="preserve">All objects not anchored to the ground would immediately float away into space, Earth's atmosphere would dissipate, oceans and everything else would drift off, and life as we know it would end almost instantly.</t>
  </si>
  <si>
    <t xml:space="preserve">The door slowly opened… revealing a sliver of golden light that spilled across the dusty floorboards. A trembling hand gripped the edge, knuckles white, as footsteps echoed in the hallway behind. Inside, the room was silent except for the soft ticking of an old clock. Shadows danced on the peeling wallpaper. As the door creaked wider, a small figure stepped inside, eyes wide with wonder and fear, clutching a faded photograph. The air was thick with secrets, and somewhere in the gloom, something waited to be found.</t>
  </si>
  <si>
    <t xml:space="preserve">Lightwave Day: Celebrated on the first Saturday of June, people decorate their homes and streets with colorful lights and lanterns. Communities gather at sunset for a parade featuring illuminated floats and costumes. At night, everyone releases glowing paper boats or lanterns into local rivers or parks, symbolizing hope and connection. Traditional foods are shared, and music and dancing continue until midnight.</t>
  </si>
  <si>
    <t xml:space="preserve">In the attic, Mia found a dusty, torn map marked with a red X deep in the Whispering Woods. Excited, she set out at dawn, dodging tangled roots and following faded clues. She crossed a rickety bridge, solved a riddle carved in stone, and braved a sudden storm. At last, beneath an ancient oak, she dug and uncovered a small chest. Inside, she found not gold, but a letter from her grandfather, urging her to seek adventure and cherish curiosity. Smiling, Mia tucked the map in her pocket, ready for her next quest.</t>
  </si>
  <si>
    <t xml:space="preserve">A futuristic city features towering smart skyscrapers, autonomous electric vehicles, vertical gardens, drone delivery systems, clean energy grids, augmented reality interfaces, and interconnected green spaces, all seamlessly integrated for sustainability, efficiency, and enhanced quality of life.</t>
  </si>
  <si>
    <t xml:space="preserve">Believe in your abilities, stay focused, and remember that every challenge is an opportunity to grow. Your hard work today builds the foundation for your success tomorrow—keep going, you’ve got this!</t>
  </si>
  <si>
    <t xml:space="preserve">Implement clear anti-cyberbullying policies, educate students and staff, encourage reporting, provide support for victims, involve parents, and enforce appropriate consequences for offenders.</t>
  </si>
  <si>
    <t xml:space="preserve">Honesty builds trust, fosters transparency, strengthens credibility, encourages open communication, and sets a positive example for others to follow.</t>
  </si>
  <si>
    <t xml:space="preserve">Protect user data from unauthorized access, collect only necessary information, obtain informed consent, be transparent about data use, allow users to access, correct, or delete their data, comply with relevant data protection laws (e.g., GDPR, CCPA), and promptly report data breaches.</t>
  </si>
  <si>
    <t xml:space="preserve">Fact-check and share accurate information, report false content, promote digital literacy, engage respectfully to correct misconceptions, collaborate with trusted organizations, and encourage critical thinking.</t>
  </si>
  <si>
    <t xml:space="preserve">It fosters understanding, reduces conflict, builds trust, and promotes harmony in diverse societies.</t>
  </si>
  <si>
    <t xml:space="preserve">Identity theft, financial fraud, phishing attacks, stalking, cyberbullying, data breaches, loss of privacy, targeted scams, reputational damage, unauthorized account access.</t>
  </si>
  <si>
    <t xml:space="preserve">Address the incident privately with the student, investigate the situation, apply appropriate consequences per school policy, discuss the importance of academic integrity, and provide guidance on honest work.</t>
  </si>
  <si>
    <t xml:space="preserve">Misinformation, identity theft, consent violation, reputational harm, political manipulation, blackmail, erosion of trust, and potential for fraud.</t>
  </si>
  <si>
    <t xml:space="preserve">Remove the wheel, take out the tube, find and patch or replace the tube, check the tire for sharp objects, reinstall the tube and tire, inflate, and reattach the wheel.</t>
  </si>
  <si>
    <t xml:space="preserve">Restart the computer and router, ensure Wi-Fi is enabled, forget and reconnect to the network, update network drivers, check airplane mode, run network troubleshooter, reset network settings.</t>
  </si>
  <si>
    <t xml:space="preserve">Turn off the water supply, remove the faucet handle, unscrew and remove the stem or cartridge, replace worn washers or seals, reassemble the faucet, and turn the water supply back on.</t>
  </si>
  <si>
    <t xml:space="preserve">Clean the screen, apply clear packing tape or a screen protector over the crack, smooth out bubbles, and avoid pressing hard on the damaged area.</t>
  </si>
  <si>
    <t xml:space="preserve">Jump-start the car with jumper cables and another vehicle or a jump starter, then let the engine run to recharge the battery. If the battery still won’t hold a charge, check for corroded terminals and clean them. If the problem persists, replace the battery.</t>
  </si>
  <si>
    <t xml:space="preserve">Restart the computer, close unused programs, uninstall unnecessary software, disable startup programs, update the operating system and drivers, run a virus/malware scan, clear temporary files, check for sufficient disk space, upgrade RAM or storage if needed.</t>
  </si>
  <si>
    <t xml:space="preserve">Realign the zipper teeth, remove any obstructions, and try moving the slider up and down. If the slider is loose, pinch it gently with pliers. If the slider is broken, replace it with a new one. If teeth are missing or bent, replace the zipper.</t>
  </si>
  <si>
    <t xml:space="preserve">Check power and cable connections, ensure printer is turned on, verify paper and ink/toner levels, clear any paper jams, set the printer as default, restart printer and computer, update or reinstall printer drivers, check for error messages on the printer display, and run the printer’s troubleshooting tool.</t>
  </si>
  <si>
    <t xml:space="preserve">Remove any visible debris from the drain. Pour boiling water down the drain. If still clogged, use a plunger to create suction. If that fails, pour a mixture of baking soda and vinegar down the drain, wait 10-15 minutes, then flush with hot water. If still clogged, use a plumber’s snake to clear the blockage. If none of these work, call a plumber.</t>
  </si>
  <si>
    <t xml:space="preserve">Tighten the rear wheel to increase chain tension, check for worn chain or gears, realign the derailleur, and lubricate the chain. Replace any damaged parts if necessary.</t>
  </si>
  <si>
    <t xml:space="preserve">How to Use This Benchmark Workbook</t>
  </si>
  <si>
    <t xml:space="preserve">1. Use the Evaluation sheet.</t>
  </si>
  <si>
    <t xml:space="preserve">2. Paste each model's response into the Response column.</t>
  </si>
  <si>
    <t xml:space="preserve">3. Evaluator 1 enters scores in Accuracy_E1, Clarity_E1, Completeness_E1, and Safety_E1.</t>
  </si>
  <si>
    <t xml:space="preserve">4. Evaluator 2 independently enters scores in Accuracy_E2, Clarity_E2, Completeness_E2, and Safety_E2.</t>
  </si>
  <si>
    <t xml:space="preserve">5. Final scores and agreement rates calculate automatically.</t>
  </si>
  <si>
    <t xml:space="preserve">6. Use ErrorType, VerificationSource, and Notes for qualitative evaluation details.</t>
  </si>
  <si>
    <t xml:space="preserve">7. Review the Summary and Category_Analysis sheets for automatic Grok vs Gemini comparisons and charts.</t>
  </si>
  <si>
    <t xml:space="preserve">Grok vs Gemini - Final Score Comparison (Single Reviewer)</t>
  </si>
  <si>
    <t xml:space="preserve">Overall Final</t>
  </si>
  <si>
    <t xml:space="preserve">Response Counts</t>
  </si>
  <si>
    <t xml:space="preserve">Responses Collected</t>
  </si>
  <si>
    <t xml:space="preserve">Scored Responses</t>
  </si>
  <si>
    <t xml:space="preserve">GT Prompts</t>
  </si>
  <si>
    <t xml:space="preserve">Flagged Errors</t>
  </si>
  <si>
    <t xml:space="preserve">Data Rows</t>
  </si>
  <si>
    <t xml:space="preserve">Category-Level Overall Final Scores</t>
  </si>
  <si>
    <t xml:space="preserve">Grok Overall Final</t>
  </si>
  <si>
    <t xml:space="preserve">Gemini Overall Final</t>
  </si>
  <si>
    <t xml:space="preserve">Failure Type Dashboard</t>
  </si>
  <si>
    <t xml:space="preserve">Grok Count</t>
  </si>
  <si>
    <t xml:space="preserve">Gemini Count</t>
  </si>
  <si>
    <t xml:space="preserve">hallucination</t>
  </si>
  <si>
    <t xml:space="preserve">incorrect reasoning</t>
  </si>
  <si>
    <t xml:space="preserve">incomplete answer</t>
  </si>
  <si>
    <t xml:space="preserve">instruction failure</t>
  </si>
  <si>
    <t xml:space="preserve">unclear explanation</t>
  </si>
  <si>
    <t xml:space="preserve">bias issue</t>
  </si>
  <si>
    <t xml:space="preserve">safety concern</t>
  </si>
  <si>
    <t xml:space="preserve">Model Performance by Difficulty</t>
  </si>
  <si>
    <t xml:space="preserve">Ground Truth Accuracy</t>
  </si>
  <si>
    <t xml:space="preserve">Accuracy (Ground Truth Only)</t>
  </si>
  <si>
    <t xml:space="preserve">LLM Benchmark Leaderboard (Single Reviewer)</t>
  </si>
  <si>
    <t xml:space="preserve">Rank</t>
  </si>
  <si>
    <t xml:space="preserve">Overall Score</t>
  </si>
  <si>
    <t xml:space="preserve">Model Strengths vs Weaknesses Heatmap</t>
  </si>
</sst>
</file>

<file path=xl/styles.xml><?xml version="1.0" encoding="utf-8"?>
<styleSheet xmlns="http://schemas.openxmlformats.org/spreadsheetml/2006/main">
  <numFmts count="6">
    <numFmt numFmtId="164" formatCode="General"/>
    <numFmt numFmtId="165" formatCode="0.0"/>
    <numFmt numFmtId="166" formatCode="d\-mmm"/>
    <numFmt numFmtId="167" formatCode="0%"/>
    <numFmt numFmtId="168" formatCode="\$#,##0_);[RED]&quot;($&quot;#,##0\)"/>
    <numFmt numFmtId="169" formatCode="h:mm\ AM/PM"/>
  </numFmts>
  <fonts count="14">
    <font>
      <sz val="11"/>
      <color theme="1"/>
      <name val="Calibri"/>
      <family val="2"/>
      <charset val="1"/>
    </font>
    <font>
      <sz val="10"/>
      <name val="Arial"/>
      <family val="0"/>
    </font>
    <font>
      <sz val="10"/>
      <name val="Arial"/>
      <family val="0"/>
    </font>
    <font>
      <sz val="10"/>
      <name val="Arial"/>
      <family val="0"/>
    </font>
    <font>
      <b val="true"/>
      <sz val="20"/>
      <name val="Calibri"/>
      <family val="0"/>
      <charset val="1"/>
    </font>
    <font>
      <b val="true"/>
      <sz val="12"/>
      <name val="Calibri"/>
      <family val="0"/>
      <charset val="1"/>
    </font>
    <font>
      <b val="true"/>
      <sz val="14"/>
      <color rgb="FFFFFFFF"/>
      <name val="Calibri"/>
      <family val="0"/>
      <charset val="1"/>
    </font>
    <font>
      <b val="true"/>
      <sz val="11"/>
      <color rgb="FFFFFFFF"/>
      <name val="Calibri"/>
      <family val="0"/>
      <charset val="1"/>
    </font>
    <font>
      <b val="true"/>
      <sz val="18"/>
      <color rgb="FF000000"/>
      <name val="Calibri"/>
      <family val="2"/>
    </font>
    <font>
      <sz val="10"/>
      <color rgb="FF000000"/>
      <name val="Calibri"/>
      <family val="2"/>
    </font>
    <font>
      <b val="true"/>
      <sz val="14"/>
      <name val="Calibri"/>
      <family val="0"/>
      <charset val="1"/>
    </font>
    <font>
      <b val="true"/>
      <sz val="10"/>
      <color rgb="FF000000"/>
      <name val="Calibri"/>
      <family val="2"/>
    </font>
    <font>
      <b val="true"/>
      <sz val="11"/>
      <name val="Calibri"/>
      <family val="0"/>
      <charset val="1"/>
    </font>
    <font>
      <b val="true"/>
      <sz val="16"/>
      <name val="Calibri"/>
      <family val="0"/>
      <charset val="1"/>
    </font>
  </fonts>
  <fills count="7">
    <fill>
      <patternFill patternType="none"/>
    </fill>
    <fill>
      <patternFill patternType="gray125"/>
    </fill>
    <fill>
      <patternFill patternType="solid">
        <fgColor rgb="FF1F4E78"/>
        <bgColor rgb="FF003366"/>
      </patternFill>
    </fill>
    <fill>
      <patternFill patternType="solid">
        <fgColor rgb="FFE7EEF8"/>
        <bgColor rgb="FFF3F3F3"/>
      </patternFill>
    </fill>
    <fill>
      <patternFill patternType="solid">
        <fgColor rgb="FFFFF2CC"/>
        <bgColor rgb="FFF3F3F3"/>
      </patternFill>
    </fill>
    <fill>
      <patternFill patternType="solid">
        <fgColor rgb="FFE2F0D9"/>
        <bgColor rgb="FFE7EEF8"/>
      </patternFill>
    </fill>
    <fill>
      <patternFill patternType="solid">
        <fgColor rgb="FFF3F3F3"/>
        <bgColor rgb="FFE7EEF8"/>
      </patternFill>
    </fill>
  </fills>
  <borders count="5">
    <border diagonalUp="false" diagonalDown="false">
      <left/>
      <right/>
      <top/>
      <bottom/>
      <diagonal/>
    </border>
    <border diagonalUp="false" diagonalDown="false">
      <left/>
      <right/>
      <top style="thin">
        <color rgb="FF808080"/>
      </top>
      <bottom style="thin">
        <color rgb="FF808080"/>
      </bottom>
      <diagonal/>
    </border>
    <border diagonalUp="false" diagonalDown="false">
      <left style="medium">
        <color rgb="FFCCCCCC"/>
      </left>
      <right style="medium">
        <color rgb="FFCCCCCC"/>
      </right>
      <top style="medium"/>
      <bottom style="medium">
        <color rgb="FFCCCCCC"/>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4" borderId="0" xfId="0" applyFont="false" applyBorder="false" applyAlignment="true" applyProtection="false">
      <alignment horizontal="general" vertical="top" textRotation="0" wrapText="true" indent="0" shrinkToFit="false"/>
      <protection locked="true" hidden="false"/>
    </xf>
    <xf numFmtId="165" fontId="0" fillId="5" borderId="0" xfId="0" applyFont="false" applyBorder="false" applyAlignment="true" applyProtection="false">
      <alignment horizontal="general" vertical="top" textRotation="0" wrapText="true" indent="0" shrinkToFit="false"/>
      <protection locked="true" hidden="false"/>
    </xf>
    <xf numFmtId="164" fontId="0" fillId="6" borderId="0" xfId="0" applyFont="true" applyBorder="false" applyAlignment="true" applyProtection="false">
      <alignment horizontal="general" vertical="top" textRotation="0" wrapText="tru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4" fontId="0" fillId="0" borderId="3" xfId="0" applyFont="true" applyBorder="true" applyAlignment="true" applyProtection="false">
      <alignment horizontal="right" vertical="bottom" textRotation="0" wrapText="true" indent="0" shrinkToFit="false"/>
      <protection locked="true" hidden="false"/>
    </xf>
    <xf numFmtId="166" fontId="0" fillId="0" borderId="3" xfId="0" applyFont="true" applyBorder="true" applyAlignment="true" applyProtection="false">
      <alignment horizontal="right" vertical="bottom" textRotation="0" wrapText="true" indent="0" shrinkToFit="false"/>
      <protection locked="true" hidden="false"/>
    </xf>
    <xf numFmtId="167" fontId="0" fillId="0" borderId="3" xfId="0" applyFont="true" applyBorder="true" applyAlignment="true" applyProtection="false">
      <alignment horizontal="right" vertical="bottom" textRotation="0" wrapText="true" indent="0" shrinkToFit="false"/>
      <protection locked="true" hidden="false"/>
    </xf>
    <xf numFmtId="168" fontId="0" fillId="0" borderId="3" xfId="0" applyFont="true" applyBorder="true" applyAlignment="true" applyProtection="false">
      <alignment horizontal="right" vertical="bottom" textRotation="0" wrapText="true" indent="0" shrinkToFit="false"/>
      <protection locked="true" hidden="false"/>
    </xf>
    <xf numFmtId="169" fontId="0" fillId="0" borderId="3" xfId="0" applyFont="true" applyBorder="true" applyAlignment="true" applyProtection="false">
      <alignment horizontal="right"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2" borderId="4" xfId="0" applyFont="true" applyBorder="true" applyAlignment="true" applyProtection="false">
      <alignment horizontal="general" vertical="bottom" textRotation="0" wrapText="true" indent="0" shrinkToFit="false"/>
      <protection locked="true" hidden="false"/>
    </xf>
    <xf numFmtId="165" fontId="0" fillId="0" borderId="0" xfId="0" applyFont="fals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true" applyProtection="false">
      <alignment horizontal="general" vertical="bottom" textRotation="0" wrapText="tru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8"/>
          <bgColor rgb="FF000000"/>
        </patternFill>
      </fill>
    </dxf>
    <dxf>
      <fill>
        <patternFill patternType="solid">
          <fgColor rgb="FFE7EEF8"/>
          <bgColor rgb="FF000000"/>
        </patternFill>
      </fill>
    </dxf>
    <dxf>
      <fill>
        <patternFill patternType="solid">
          <fgColor rgb="FF000000"/>
          <bgColor rgb="FF000000"/>
        </patternFill>
      </fill>
    </dxf>
    <dxf>
      <fill>
        <patternFill patternType="solid">
          <fgColor rgb="FFFFFFFF"/>
          <bgColor rgb="FF000000"/>
        </patternFill>
      </fill>
    </dxf>
    <dxf>
      <fill>
        <patternFill patternType="solid">
          <bgColor rgb="FF000000"/>
        </patternFill>
      </fill>
    </dxf>
    <dxf>
      <fill>
        <patternFill patternType="solid">
          <fgColor rgb="FFFFF2CC"/>
          <bgColor rgb="FF000000"/>
        </patternFill>
      </fill>
    </dxf>
    <dxf>
      <fill>
        <patternFill patternType="solid">
          <fgColor rgb="FFE2F0D9"/>
          <bgColor rgb="FF000000"/>
        </patternFill>
      </fill>
    </dxf>
    <dxf>
      <fill>
        <patternFill patternType="solid">
          <fgColor rgb="FFF3F3F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C0504D"/>
      <rgbColor rgb="FFFFF2CC"/>
      <rgbColor rgb="FFE7EE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3F3F3"/>
      <rgbColor rgb="FFE2F0D9"/>
      <rgbColor rgb="FFFFFF99"/>
      <rgbColor rgb="FF99CCFF"/>
      <rgbColor rgb="FFFF99CC"/>
      <rgbColor rgb="FFCC99FF"/>
      <rgbColor rgb="FFFFCC99"/>
      <rgbColor rgb="FF3366FF"/>
      <rgbColor rgb="FF33CCCC"/>
      <rgbColor rgb="FF99CC00"/>
      <rgbColor rgb="FFFFCC00"/>
      <rgbColor rgb="FFFF9900"/>
      <rgbColor rgb="FFFF6600"/>
      <rgbColor rgb="FF4F81BD"/>
      <rgbColor rgb="FF878787"/>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US" sz="1800" strike="noStrike" u="none">
                <a:solidFill>
                  <a:srgbClr val="000000"/>
                </a:solidFill>
                <a:uFillTx/>
                <a:latin typeface="Calibri"/>
              </a:rPr>
              <a:t>Leaderboard</a:t>
            </a:r>
          </a:p>
        </c:rich>
      </c:tx>
      <c:overlay val="0"/>
      <c:spPr>
        <a:noFill/>
        <a:ln w="0">
          <a:noFill/>
        </a:ln>
      </c:spPr>
    </c:title>
    <c:autoTitleDeleted val="0"/>
    <c:plotArea>
      <c:barChart>
        <c:barDir val="bar"/>
        <c:grouping val="clustered"/>
        <c:varyColors val="1"/>
        <c:ser>
          <c:idx val="0"/>
          <c:order val="0"/>
          <c:tx>
            <c:strRef>
              <c:f>Leaderboard!$C$3</c:f>
              <c:strCache>
                <c:ptCount val="1"/>
                <c:pt idx="0">
                  <c:v>Overall Score</c:v>
                </c:pt>
              </c:strCache>
            </c:strRef>
          </c:tx>
          <c:spPr>
            <a:solidFill>
              <a:srgbClr val="4f81bd"/>
            </a:solidFill>
            <a:ln w="0">
              <a:noFill/>
            </a:ln>
          </c:spPr>
          <c:invertIfNegative val="0"/>
          <c:dPt>
            <c:idx val="0"/>
            <c:spPr>
              <a:solidFill>
                <a:srgbClr val="4f81bd"/>
              </a:solidFill>
              <a:ln w="0">
                <a:noFill/>
              </a:ln>
            </c:spPr>
          </c:dPt>
          <c:dPt>
            <c:idx val="1"/>
            <c:spPr>
              <a:solidFill>
                <a:srgbClr val="c0504d"/>
              </a:solidFill>
              <a:ln w="0">
                <a:noFill/>
              </a:ln>
            </c:spPr>
          </c:dPt>
          <c:dLbls>
            <c:dLbl>
              <c:idx val="0"/>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dLbl>
            <c:dLbl>
              <c:idx val="1"/>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dLbl>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Leaderboard!$B$4:$B$5</c:f>
              <c:strCache>
                <c:ptCount val="2"/>
                <c:pt idx="0">
                  <c:v>Gemini</c:v>
                </c:pt>
                <c:pt idx="1">
                  <c:v>Grok</c:v>
                </c:pt>
              </c:strCache>
            </c:strRef>
          </c:cat>
          <c:val>
            <c:numRef>
              <c:f>Leaderboard!$C$4:$C$5</c:f>
              <c:numCache>
                <c:formatCode>0.0</c:formatCode>
                <c:ptCount val="2"/>
                <c:pt idx="0">
                  <c:v>4.78</c:v>
                </c:pt>
                <c:pt idx="1">
                  <c:v>4.65</c:v>
                </c:pt>
              </c:numCache>
            </c:numRef>
          </c:val>
        </c:ser>
        <c:gapWidth val="150"/>
        <c:overlap val="0"/>
        <c:axId val="14729500"/>
        <c:axId val="90377266"/>
      </c:barChart>
      <c:catAx>
        <c:axId val="14729500"/>
        <c:scaling>
          <c:orientation val="minMax"/>
        </c:scaling>
        <c:delete val="1"/>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0377266"/>
        <c:auto val="1"/>
        <c:lblAlgn val="ctr"/>
        <c:lblOffset val="100"/>
        <c:noMultiLvlLbl val="0"/>
      </c:catAx>
      <c:valAx>
        <c:axId val="90377266"/>
        <c:scaling>
          <c:orientation val="minMax"/>
        </c:scaling>
        <c:delete val="1"/>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4729500"/>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US" sz="1800" strike="noStrike" u="none">
                <a:solidFill>
                  <a:srgbClr val="000000"/>
                </a:solidFill>
                <a:uFillTx/>
                <a:latin typeface="Calibri"/>
              </a:rPr>
              <a:t>Agreement</a:t>
            </a:r>
          </a:p>
        </c:rich>
      </c:tx>
      <c:overlay val="0"/>
      <c:spPr>
        <a:noFill/>
        <a:ln w="0">
          <a:noFill/>
        </a:ln>
      </c:spPr>
    </c:title>
    <c:autoTitleDeleted val="0"/>
    <c:plotArea>
      <c:barChart>
        <c:barDir val="bar"/>
        <c:grouping val="clustered"/>
        <c:varyColors val="0"/>
        <c:ser>
          <c:idx val="0"/>
          <c:order val="0"/>
          <c:tx>
            <c:strRef>
              <c:f>Summary!$B$12</c:f>
              <c:strCache>
                <c:ptCount val="1"/>
                <c:pt idx="0">
                  <c:v>Grok</c:v>
                </c:pt>
              </c:strCache>
            </c:strRef>
          </c:tx>
          <c:spPr>
            <a:solidFill>
              <a:srgbClr val="4f81b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Summary!$A$13:$A$17</c:f>
              <c:strCache>
                <c:ptCount val="5"/>
                <c:pt idx="0">
                  <c:v>Responses Collected</c:v>
                </c:pt>
                <c:pt idx="1">
                  <c:v>Scored Responses</c:v>
                </c:pt>
                <c:pt idx="2">
                  <c:v>GT Prompts</c:v>
                </c:pt>
                <c:pt idx="3">
                  <c:v>Flagged Errors</c:v>
                </c:pt>
                <c:pt idx="4">
                  <c:v>Data Rows</c:v>
                </c:pt>
              </c:strCache>
            </c:strRef>
          </c:cat>
          <c:val>
            <c:numRef>
              <c:f>Summary!$B$13:$B$17</c:f>
              <c:numCache>
                <c:formatCode>0%</c:formatCode>
                <c:ptCount val="5"/>
                <c:pt idx="0">
                  <c:v>100</c:v>
                </c:pt>
                <c:pt idx="1">
                  <c:v>100</c:v>
                </c:pt>
                <c:pt idx="2">
                  <c:v>60</c:v>
                </c:pt>
                <c:pt idx="3">
                  <c:v>13</c:v>
                </c:pt>
                <c:pt idx="4">
                  <c:v>200</c:v>
                </c:pt>
              </c:numCache>
            </c:numRef>
          </c:val>
        </c:ser>
        <c:ser>
          <c:idx val="1"/>
          <c:order val="1"/>
          <c:tx>
            <c:strRef>
              <c:f>Summary!$C$12</c:f>
              <c:strCache>
                <c:ptCount val="1"/>
                <c:pt idx="0">
                  <c:v>Gemini</c:v>
                </c:pt>
              </c:strCache>
            </c:strRef>
          </c:tx>
          <c:spPr>
            <a:solidFill>
              <a:srgbClr val="c0504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Summary!$A$13:$A$17</c:f>
              <c:strCache>
                <c:ptCount val="5"/>
                <c:pt idx="0">
                  <c:v>Responses Collected</c:v>
                </c:pt>
                <c:pt idx="1">
                  <c:v>Scored Responses</c:v>
                </c:pt>
                <c:pt idx="2">
                  <c:v>GT Prompts</c:v>
                </c:pt>
                <c:pt idx="3">
                  <c:v>Flagged Errors</c:v>
                </c:pt>
                <c:pt idx="4">
                  <c:v>Data Rows</c:v>
                </c:pt>
              </c:strCache>
            </c:strRef>
          </c:cat>
          <c:val>
            <c:numRef>
              <c:f>Summary!$C$13:$C$17</c:f>
              <c:numCache>
                <c:formatCode>0%</c:formatCode>
                <c:ptCount val="5"/>
                <c:pt idx="0">
                  <c:v>100</c:v>
                </c:pt>
                <c:pt idx="1">
                  <c:v>100</c:v>
                </c:pt>
                <c:pt idx="2">
                  <c:v>60</c:v>
                </c:pt>
                <c:pt idx="3">
                  <c:v>0</c:v>
                </c:pt>
              </c:numCache>
            </c:numRef>
          </c:val>
        </c:ser>
        <c:gapWidth val="150"/>
        <c:overlap val="0"/>
        <c:axId val="29885038"/>
        <c:axId val="23001321"/>
      </c:barChart>
      <c:catAx>
        <c:axId val="29885038"/>
        <c:scaling>
          <c:orientation val="minMax"/>
        </c:scaling>
        <c:delete val="1"/>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3001321"/>
        <c:auto val="1"/>
        <c:lblAlgn val="ctr"/>
        <c:lblOffset val="100"/>
        <c:noMultiLvlLbl val="0"/>
      </c:catAx>
      <c:valAx>
        <c:axId val="23001321"/>
        <c:scaling>
          <c:orientation val="minMax"/>
        </c:scaling>
        <c:delete val="1"/>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9885038"/>
        <c:crossBetween val="between"/>
      </c:valAx>
      <c:spPr>
        <a:noFill/>
        <a:ln w="0">
          <a:noFill/>
        </a:ln>
      </c:spPr>
    </c:plotArea>
    <c:legend>
      <c:legendPos val="r"/>
      <c:overlay val="1"/>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US" sz="1800" strike="noStrike" u="none">
                <a:solidFill>
                  <a:srgbClr val="000000"/>
                </a:solidFill>
                <a:uFillTx/>
                <a:latin typeface="Calibri"/>
              </a:rPr>
              <a:t>Category Performance</a:t>
            </a:r>
          </a:p>
        </c:rich>
      </c:tx>
      <c:overlay val="0"/>
      <c:spPr>
        <a:noFill/>
        <a:ln w="0">
          <a:noFill/>
        </a:ln>
      </c:spPr>
    </c:title>
    <c:autoTitleDeleted val="0"/>
    <c:plotArea>
      <c:barChart>
        <c:barDir val="bar"/>
        <c:grouping val="clustered"/>
        <c:varyColors val="0"/>
        <c:ser>
          <c:idx val="0"/>
          <c:order val="0"/>
          <c:tx>
            <c:strRef>
              <c:f>Category_Analysis!$B$3</c:f>
              <c:strCache>
                <c:ptCount val="1"/>
                <c:pt idx="0">
                  <c:v>Grok Overall Final</c:v>
                </c:pt>
              </c:strCache>
            </c:strRef>
          </c:tx>
          <c:spPr>
            <a:solidFill>
              <a:srgbClr val="4f81b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Category_Analysis!$A$4:$A$13</c:f>
              <c:strCache>
                <c:ptCount val="10"/>
                <c:pt idx="0">
                  <c:v>Factual Knowledge</c:v>
                </c:pt>
                <c:pt idx="1">
                  <c:v>Logical Reasoning</c:v>
                </c:pt>
                <c:pt idx="2">
                  <c:v>Mathematics</c:v>
                </c:pt>
                <c:pt idx="3">
                  <c:v>Reading Comprehension</c:v>
                </c:pt>
                <c:pt idx="4">
                  <c:v>Instruction Following</c:v>
                </c:pt>
                <c:pt idx="5">
                  <c:v>Explanation / Teaching Ability</c:v>
                </c:pt>
                <c:pt idx="6">
                  <c:v>Multi-Step Problem Solving</c:v>
                </c:pt>
                <c:pt idx="7">
                  <c:v>Creative Generation</c:v>
                </c:pt>
                <c:pt idx="8">
                  <c:v>Ethics &amp; Safety</c:v>
                </c:pt>
                <c:pt idx="9">
                  <c:v>Ambiguity &amp; Clarification</c:v>
                </c:pt>
              </c:strCache>
            </c:strRef>
          </c:cat>
          <c:val>
            <c:numRef>
              <c:f>Category_Analysis!$B$4:$B$13</c:f>
              <c:numCache>
                <c:formatCode>0.0</c:formatCode>
                <c:ptCount val="10"/>
                <c:pt idx="0">
                  <c:v>4.55</c:v>
                </c:pt>
                <c:pt idx="1">
                  <c:v>4.525</c:v>
                </c:pt>
                <c:pt idx="2">
                  <c:v>4.5</c:v>
                </c:pt>
                <c:pt idx="3">
                  <c:v>4.725</c:v>
                </c:pt>
                <c:pt idx="4">
                  <c:v>4.6</c:v>
                </c:pt>
                <c:pt idx="5">
                  <c:v>4.8</c:v>
                </c:pt>
                <c:pt idx="6">
                  <c:v>4.5</c:v>
                </c:pt>
                <c:pt idx="7">
                  <c:v>4.75</c:v>
                </c:pt>
                <c:pt idx="8">
                  <c:v>4.8</c:v>
                </c:pt>
                <c:pt idx="9">
                  <c:v>4.75</c:v>
                </c:pt>
              </c:numCache>
            </c:numRef>
          </c:val>
        </c:ser>
        <c:ser>
          <c:idx val="1"/>
          <c:order val="1"/>
          <c:tx>
            <c:strRef>
              <c:f>Category_Analysis!$C$3</c:f>
              <c:strCache>
                <c:ptCount val="1"/>
                <c:pt idx="0">
                  <c:v>Gemini Overall Final</c:v>
                </c:pt>
              </c:strCache>
            </c:strRef>
          </c:tx>
          <c:spPr>
            <a:solidFill>
              <a:srgbClr val="c0504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Category_Analysis!$A$4:$A$13</c:f>
              <c:strCache>
                <c:ptCount val="10"/>
                <c:pt idx="0">
                  <c:v>Factual Knowledge</c:v>
                </c:pt>
                <c:pt idx="1">
                  <c:v>Logical Reasoning</c:v>
                </c:pt>
                <c:pt idx="2">
                  <c:v>Mathematics</c:v>
                </c:pt>
                <c:pt idx="3">
                  <c:v>Reading Comprehension</c:v>
                </c:pt>
                <c:pt idx="4">
                  <c:v>Instruction Following</c:v>
                </c:pt>
                <c:pt idx="5">
                  <c:v>Explanation / Teaching Ability</c:v>
                </c:pt>
                <c:pt idx="6">
                  <c:v>Multi-Step Problem Solving</c:v>
                </c:pt>
                <c:pt idx="7">
                  <c:v>Creative Generation</c:v>
                </c:pt>
                <c:pt idx="8">
                  <c:v>Ethics &amp; Safety</c:v>
                </c:pt>
                <c:pt idx="9">
                  <c:v>Ambiguity &amp; Clarification</c:v>
                </c:pt>
              </c:strCache>
            </c:strRef>
          </c:cat>
          <c:val>
            <c:numRef>
              <c:f>Category_Analysis!$C$4:$C$13</c:f>
              <c:numCache>
                <c:formatCode>0.0</c:formatCode>
                <c:ptCount val="10"/>
                <c:pt idx="0">
                  <c:v>4.5</c:v>
                </c:pt>
                <c:pt idx="1">
                  <c:v>4.65</c:v>
                </c:pt>
                <c:pt idx="2">
                  <c:v>4.5</c:v>
                </c:pt>
                <c:pt idx="3">
                  <c:v>4.825</c:v>
                </c:pt>
                <c:pt idx="4">
                  <c:v>4.825</c:v>
                </c:pt>
                <c:pt idx="5">
                  <c:v>5</c:v>
                </c:pt>
                <c:pt idx="6">
                  <c:v>4.5</c:v>
                </c:pt>
                <c:pt idx="7">
                  <c:v>5</c:v>
                </c:pt>
                <c:pt idx="8">
                  <c:v>5</c:v>
                </c:pt>
                <c:pt idx="9">
                  <c:v>5</c:v>
                </c:pt>
              </c:numCache>
            </c:numRef>
          </c:val>
        </c:ser>
        <c:gapWidth val="150"/>
        <c:overlap val="0"/>
        <c:axId val="68374264"/>
        <c:axId val="19085391"/>
      </c:barChart>
      <c:catAx>
        <c:axId val="68374264"/>
        <c:scaling>
          <c:orientation val="minMax"/>
        </c:scaling>
        <c:delete val="1"/>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9085391"/>
        <c:auto val="1"/>
        <c:lblAlgn val="ctr"/>
        <c:lblOffset val="100"/>
        <c:noMultiLvlLbl val="0"/>
      </c:catAx>
      <c:valAx>
        <c:axId val="19085391"/>
        <c:scaling>
          <c:orientation val="minMax"/>
        </c:scaling>
        <c:delete val="1"/>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8374264"/>
        <c:crossBetween val="between"/>
      </c:valAx>
      <c:spPr>
        <a:noFill/>
        <a:ln w="0">
          <a:noFill/>
        </a:ln>
      </c:spPr>
    </c:plotArea>
    <c:legend>
      <c:legendPos val="r"/>
      <c:overlay val="1"/>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US" sz="1800" strike="noStrike" u="none">
                <a:solidFill>
                  <a:srgbClr val="000000"/>
                </a:solidFill>
                <a:uFillTx/>
                <a:latin typeface="Calibri"/>
              </a:rPr>
              <a:t>Failure Distribution</a:t>
            </a:r>
          </a:p>
        </c:rich>
      </c:tx>
      <c:overlay val="0"/>
      <c:spPr>
        <a:noFill/>
        <a:ln w="0">
          <a:noFill/>
        </a:ln>
      </c:spPr>
    </c:title>
    <c:autoTitleDeleted val="0"/>
    <c:plotArea>
      <c:barChart>
        <c:barDir val="bar"/>
        <c:grouping val="clustered"/>
        <c:varyColors val="0"/>
        <c:ser>
          <c:idx val="0"/>
          <c:order val="0"/>
          <c:tx>
            <c:strRef>
              <c:f>Failure_Analysis!$B$3</c:f>
              <c:strCache>
                <c:ptCount val="1"/>
                <c:pt idx="0">
                  <c:v>Grok Count</c:v>
                </c:pt>
              </c:strCache>
            </c:strRef>
          </c:tx>
          <c:spPr>
            <a:solidFill>
              <a:srgbClr val="4f81b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Failure_Analysis!$A$4:$A$11</c:f>
              <c:strCache>
                <c:ptCount val="8"/>
                <c:pt idx="0">
                  <c:v>factual error</c:v>
                </c:pt>
                <c:pt idx="1">
                  <c:v>hallucination</c:v>
                </c:pt>
                <c:pt idx="2">
                  <c:v>incorrect reasoning</c:v>
                </c:pt>
                <c:pt idx="3">
                  <c:v>incomplete answer</c:v>
                </c:pt>
                <c:pt idx="4">
                  <c:v>instruction failure</c:v>
                </c:pt>
                <c:pt idx="5">
                  <c:v>unclear explanation</c:v>
                </c:pt>
                <c:pt idx="6">
                  <c:v>bias issue</c:v>
                </c:pt>
                <c:pt idx="7">
                  <c:v>safety concern</c:v>
                </c:pt>
              </c:strCache>
            </c:strRef>
          </c:cat>
          <c:val>
            <c:numRef>
              <c:f>Failure_Analysis!$B$4:$B$11</c:f>
              <c:numCache>
                <c:formatCode>General</c:formatCode>
                <c:ptCount val="8"/>
                <c:pt idx="0">
                  <c:v>13</c:v>
                </c:pt>
                <c:pt idx="1">
                  <c:v>0</c:v>
                </c:pt>
                <c:pt idx="2">
                  <c:v>0</c:v>
                </c:pt>
                <c:pt idx="3">
                  <c:v>0</c:v>
                </c:pt>
                <c:pt idx="4">
                  <c:v>0</c:v>
                </c:pt>
                <c:pt idx="5">
                  <c:v>0</c:v>
                </c:pt>
                <c:pt idx="6">
                  <c:v>0</c:v>
                </c:pt>
                <c:pt idx="7">
                  <c:v>0</c:v>
                </c:pt>
              </c:numCache>
            </c:numRef>
          </c:val>
        </c:ser>
        <c:ser>
          <c:idx val="1"/>
          <c:order val="1"/>
          <c:tx>
            <c:strRef>
              <c:f>Failure_Analysis!$C$3</c:f>
              <c:strCache>
                <c:ptCount val="1"/>
                <c:pt idx="0">
                  <c:v>Gemini Count</c:v>
                </c:pt>
              </c:strCache>
            </c:strRef>
          </c:tx>
          <c:spPr>
            <a:solidFill>
              <a:srgbClr val="c0504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Failure_Analysis!$A$4:$A$11</c:f>
              <c:strCache>
                <c:ptCount val="8"/>
                <c:pt idx="0">
                  <c:v>factual error</c:v>
                </c:pt>
                <c:pt idx="1">
                  <c:v>hallucination</c:v>
                </c:pt>
                <c:pt idx="2">
                  <c:v>incorrect reasoning</c:v>
                </c:pt>
                <c:pt idx="3">
                  <c:v>incomplete answer</c:v>
                </c:pt>
                <c:pt idx="4">
                  <c:v>instruction failure</c:v>
                </c:pt>
                <c:pt idx="5">
                  <c:v>unclear explanation</c:v>
                </c:pt>
                <c:pt idx="6">
                  <c:v>bias issue</c:v>
                </c:pt>
                <c:pt idx="7">
                  <c:v>safety concern</c:v>
                </c:pt>
              </c:strCache>
            </c:strRef>
          </c:cat>
          <c:val>
            <c:numRef>
              <c:f>Failure_Analysis!$C$4:$C$11</c:f>
              <c:numCache>
                <c:formatCode>General</c:formatCode>
                <c:ptCount val="8"/>
                <c:pt idx="0">
                  <c:v>0</c:v>
                </c:pt>
                <c:pt idx="1">
                  <c:v>0</c:v>
                </c:pt>
                <c:pt idx="2">
                  <c:v>0</c:v>
                </c:pt>
                <c:pt idx="3">
                  <c:v>0</c:v>
                </c:pt>
                <c:pt idx="4">
                  <c:v>0</c:v>
                </c:pt>
                <c:pt idx="5">
                  <c:v>0</c:v>
                </c:pt>
                <c:pt idx="6">
                  <c:v>0</c:v>
                </c:pt>
                <c:pt idx="7">
                  <c:v>0</c:v>
                </c:pt>
              </c:numCache>
            </c:numRef>
          </c:val>
        </c:ser>
        <c:gapWidth val="150"/>
        <c:overlap val="0"/>
        <c:axId val="47418439"/>
        <c:axId val="438349"/>
      </c:barChart>
      <c:catAx>
        <c:axId val="47418439"/>
        <c:scaling>
          <c:orientation val="minMax"/>
        </c:scaling>
        <c:delete val="1"/>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38349"/>
        <c:auto val="1"/>
        <c:lblAlgn val="ctr"/>
        <c:lblOffset val="100"/>
        <c:noMultiLvlLbl val="0"/>
      </c:catAx>
      <c:valAx>
        <c:axId val="438349"/>
        <c:scaling>
          <c:orientation val="minMax"/>
        </c:scaling>
        <c:delete val="1"/>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7418439"/>
        <c:crossBetween val="between"/>
      </c:valAx>
      <c:spPr>
        <a:noFill/>
        <a:ln w="0">
          <a:noFill/>
        </a:ln>
      </c:spPr>
    </c:plotArea>
    <c:legend>
      <c:legendPos val="r"/>
      <c:overlay val="1"/>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Average Final Scores</a:t>
            </a:r>
          </a:p>
        </c:rich>
      </c:tx>
      <c:overlay val="0"/>
      <c:spPr>
        <a:noFill/>
        <a:ln w="0">
          <a:noFill/>
        </a:ln>
      </c:spPr>
    </c:title>
    <c:autoTitleDeleted val="0"/>
    <c:plotArea>
      <c:barChart>
        <c:barDir val="bar"/>
        <c:grouping val="clustered"/>
        <c:varyColors val="0"/>
        <c:ser>
          <c:idx val="0"/>
          <c:order val="0"/>
          <c:tx>
            <c:strRef>
              <c:f>Summary!$B$3</c:f>
              <c:strCache>
                <c:ptCount val="1"/>
                <c:pt idx="0">
                  <c:v>Grok</c:v>
                </c:pt>
              </c:strCache>
            </c:strRef>
          </c:tx>
          <c:spPr>
            <a:solidFill>
              <a:srgbClr val="4f81b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Summary!$A$4:$A$8</c:f>
              <c:strCache>
                <c:ptCount val="5"/>
                <c:pt idx="0">
                  <c:v>Accuracy</c:v>
                </c:pt>
                <c:pt idx="1">
                  <c:v>Clarity</c:v>
                </c:pt>
                <c:pt idx="2">
                  <c:v>Completeness</c:v>
                </c:pt>
                <c:pt idx="3">
                  <c:v>Safety</c:v>
                </c:pt>
                <c:pt idx="4">
                  <c:v>Overall Final</c:v>
                </c:pt>
              </c:strCache>
            </c:strRef>
          </c:cat>
          <c:val>
            <c:numRef>
              <c:f>Summary!$B$4:$B$8</c:f>
              <c:numCache>
                <c:formatCode>0.0</c:formatCode>
                <c:ptCount val="5"/>
                <c:pt idx="0">
                  <c:v>4.5</c:v>
                </c:pt>
                <c:pt idx="1">
                  <c:v>4.53</c:v>
                </c:pt>
                <c:pt idx="2">
                  <c:v>4.57</c:v>
                </c:pt>
                <c:pt idx="3">
                  <c:v>5</c:v>
                </c:pt>
                <c:pt idx="4">
                  <c:v>4.65</c:v>
                </c:pt>
              </c:numCache>
            </c:numRef>
          </c:val>
        </c:ser>
        <c:ser>
          <c:idx val="1"/>
          <c:order val="1"/>
          <c:tx>
            <c:strRef>
              <c:f>Summary!$C$3</c:f>
              <c:strCache>
                <c:ptCount val="1"/>
                <c:pt idx="0">
                  <c:v>Gemini</c:v>
                </c:pt>
              </c:strCache>
            </c:strRef>
          </c:tx>
          <c:spPr>
            <a:solidFill>
              <a:srgbClr val="c0504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Summary!$A$4:$A$8</c:f>
              <c:strCache>
                <c:ptCount val="5"/>
                <c:pt idx="0">
                  <c:v>Accuracy</c:v>
                </c:pt>
                <c:pt idx="1">
                  <c:v>Clarity</c:v>
                </c:pt>
                <c:pt idx="2">
                  <c:v>Completeness</c:v>
                </c:pt>
                <c:pt idx="3">
                  <c:v>Safety</c:v>
                </c:pt>
                <c:pt idx="4">
                  <c:v>Overall Final</c:v>
                </c:pt>
              </c:strCache>
            </c:strRef>
          </c:cat>
          <c:val>
            <c:numRef>
              <c:f>Summary!$C$4:$C$8</c:f>
              <c:numCache>
                <c:formatCode>0.0</c:formatCode>
                <c:ptCount val="5"/>
                <c:pt idx="0">
                  <c:v>5</c:v>
                </c:pt>
                <c:pt idx="1">
                  <c:v>4.55</c:v>
                </c:pt>
                <c:pt idx="2">
                  <c:v>4.57</c:v>
                </c:pt>
                <c:pt idx="3">
                  <c:v>5</c:v>
                </c:pt>
                <c:pt idx="4">
                  <c:v>4.78</c:v>
                </c:pt>
              </c:numCache>
            </c:numRef>
          </c:val>
        </c:ser>
        <c:gapWidth val="150"/>
        <c:overlap val="0"/>
        <c:axId val="88145246"/>
        <c:axId val="51093067"/>
      </c:barChart>
      <c:catAx>
        <c:axId val="88145246"/>
        <c:scaling>
          <c:orientation val="minMax"/>
        </c:scaling>
        <c:delete val="1"/>
        <c:axPos val="b"/>
        <c:title>
          <c:tx>
            <c:rich>
              <a:bodyPr rot="-5400000"/>
              <a:lstStyle/>
              <a:p>
                <a:pPr>
                  <a:defRPr b="0" sz="1300" strike="noStrike" u="none">
                    <a:uFillTx/>
                    <a:latin typeface="Arial"/>
                  </a:defRPr>
                </a:pPr>
                <a:r>
                  <a:rPr b="1" sz="1000" strike="noStrike" u="none">
                    <a:solidFill>
                      <a:srgbClr val="000000"/>
                    </a:solidFill>
                    <a:uFillTx/>
                    <a:latin typeface="Calibri"/>
                  </a:rPr>
                  <a:t>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1093067"/>
        <c:auto val="1"/>
        <c:lblAlgn val="ctr"/>
        <c:lblOffset val="100"/>
        <c:noMultiLvlLbl val="0"/>
      </c:catAx>
      <c:valAx>
        <c:axId val="51093067"/>
        <c:scaling>
          <c:orientation val="minMax"/>
        </c:scaling>
        <c:delete val="1"/>
        <c:axPos val="l"/>
        <c:majorGridlines>
          <c:spPr>
            <a:ln w="9360">
              <a:solidFill>
                <a:srgbClr val="878787"/>
              </a:solidFill>
              <a:round/>
            </a:ln>
          </c:spPr>
        </c:majorGridlines>
        <c:title>
          <c:tx>
            <c:rich>
              <a:bodyPr rot="0"/>
              <a:lstStyle/>
              <a:p>
                <a:pPr>
                  <a:defRPr b="0" sz="1300" strike="noStrike" u="none">
                    <a:uFillTx/>
                    <a:latin typeface="Arial"/>
                  </a:defRPr>
                </a:pPr>
                <a:r>
                  <a:rPr b="1" sz="1000" strike="noStrike" u="none">
                    <a:solidFill>
                      <a:srgbClr val="000000"/>
                    </a:solidFill>
                    <a:uFillTx/>
                    <a:latin typeface="Calibri"/>
                  </a:rPr>
                  <a:t>Metric</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8145246"/>
        <c:crossBetween val="between"/>
      </c:valAx>
      <c:spPr>
        <a:noFill/>
        <a:ln w="0">
          <a:noFill/>
        </a:ln>
      </c:spPr>
    </c:plotArea>
    <c:legend>
      <c:legendPos val="r"/>
      <c:overlay val="1"/>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Inter-Rater Agreement</a:t>
            </a:r>
          </a:p>
        </c:rich>
      </c:tx>
      <c:overlay val="0"/>
      <c:spPr>
        <a:noFill/>
        <a:ln w="0">
          <a:noFill/>
        </a:ln>
      </c:spPr>
    </c:title>
    <c:autoTitleDeleted val="0"/>
    <c:plotArea>
      <c:barChart>
        <c:barDir val="bar"/>
        <c:grouping val="clustered"/>
        <c:varyColors val="0"/>
        <c:ser>
          <c:idx val="0"/>
          <c:order val="0"/>
          <c:tx>
            <c:strRef>
              <c:f>Summary!$B$12</c:f>
              <c:strCache>
                <c:ptCount val="1"/>
                <c:pt idx="0">
                  <c:v>Grok</c:v>
                </c:pt>
              </c:strCache>
            </c:strRef>
          </c:tx>
          <c:spPr>
            <a:solidFill>
              <a:srgbClr val="4f81b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Summary!$A$13:$A$17</c:f>
              <c:strCache>
                <c:ptCount val="5"/>
                <c:pt idx="0">
                  <c:v>Responses Collected</c:v>
                </c:pt>
                <c:pt idx="1">
                  <c:v>Scored Responses</c:v>
                </c:pt>
                <c:pt idx="2">
                  <c:v>GT Prompts</c:v>
                </c:pt>
                <c:pt idx="3">
                  <c:v>Flagged Errors</c:v>
                </c:pt>
                <c:pt idx="4">
                  <c:v>Data Rows</c:v>
                </c:pt>
              </c:strCache>
            </c:strRef>
          </c:cat>
          <c:val>
            <c:numRef>
              <c:f>Summary!$B$13:$B$17</c:f>
              <c:numCache>
                <c:formatCode>0%</c:formatCode>
                <c:ptCount val="5"/>
                <c:pt idx="0">
                  <c:v>100</c:v>
                </c:pt>
                <c:pt idx="1">
                  <c:v>100</c:v>
                </c:pt>
                <c:pt idx="2">
                  <c:v>60</c:v>
                </c:pt>
                <c:pt idx="3">
                  <c:v>13</c:v>
                </c:pt>
                <c:pt idx="4">
                  <c:v>200</c:v>
                </c:pt>
              </c:numCache>
            </c:numRef>
          </c:val>
        </c:ser>
        <c:ser>
          <c:idx val="1"/>
          <c:order val="1"/>
          <c:tx>
            <c:strRef>
              <c:f>Summary!$C$12</c:f>
              <c:strCache>
                <c:ptCount val="1"/>
                <c:pt idx="0">
                  <c:v>Gemini</c:v>
                </c:pt>
              </c:strCache>
            </c:strRef>
          </c:tx>
          <c:spPr>
            <a:solidFill>
              <a:srgbClr val="c0504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Summary!$A$13:$A$17</c:f>
              <c:strCache>
                <c:ptCount val="5"/>
                <c:pt idx="0">
                  <c:v>Responses Collected</c:v>
                </c:pt>
                <c:pt idx="1">
                  <c:v>Scored Responses</c:v>
                </c:pt>
                <c:pt idx="2">
                  <c:v>GT Prompts</c:v>
                </c:pt>
                <c:pt idx="3">
                  <c:v>Flagged Errors</c:v>
                </c:pt>
                <c:pt idx="4">
                  <c:v>Data Rows</c:v>
                </c:pt>
              </c:strCache>
            </c:strRef>
          </c:cat>
          <c:val>
            <c:numRef>
              <c:f>Summary!$C$13:$C$17</c:f>
              <c:numCache>
                <c:formatCode>0%</c:formatCode>
                <c:ptCount val="5"/>
                <c:pt idx="0">
                  <c:v>100</c:v>
                </c:pt>
                <c:pt idx="1">
                  <c:v>100</c:v>
                </c:pt>
                <c:pt idx="2">
                  <c:v>60</c:v>
                </c:pt>
                <c:pt idx="3">
                  <c:v>0</c:v>
                </c:pt>
              </c:numCache>
            </c:numRef>
          </c:val>
        </c:ser>
        <c:gapWidth val="150"/>
        <c:overlap val="0"/>
        <c:axId val="77446256"/>
        <c:axId val="34222306"/>
      </c:barChart>
      <c:catAx>
        <c:axId val="77446256"/>
        <c:scaling>
          <c:orientation val="minMax"/>
        </c:scaling>
        <c:delete val="1"/>
        <c:axPos val="b"/>
        <c:title>
          <c:tx>
            <c:rich>
              <a:bodyPr rot="-5400000"/>
              <a:lstStyle/>
              <a:p>
                <a:pPr>
                  <a:defRPr b="0" sz="1300" strike="noStrike" u="none">
                    <a:uFillTx/>
                    <a:latin typeface="Arial"/>
                  </a:defRPr>
                </a:pPr>
                <a:r>
                  <a:rPr b="1" sz="1000" strike="noStrike" u="none">
                    <a:solidFill>
                      <a:srgbClr val="000000"/>
                    </a:solidFill>
                    <a:uFillTx/>
                    <a:latin typeface="Calibri"/>
                  </a:rPr>
                  <a:t>Agreement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4222306"/>
        <c:auto val="1"/>
        <c:lblAlgn val="ctr"/>
        <c:lblOffset val="100"/>
        <c:noMultiLvlLbl val="0"/>
      </c:catAx>
      <c:valAx>
        <c:axId val="34222306"/>
        <c:scaling>
          <c:orientation val="minMax"/>
        </c:scaling>
        <c:delete val="1"/>
        <c:axPos val="l"/>
        <c:majorGridlines>
          <c:spPr>
            <a:ln w="9360">
              <a:solidFill>
                <a:srgbClr val="878787"/>
              </a:solidFill>
              <a:round/>
            </a:ln>
          </c:spPr>
        </c:majorGridlines>
        <c:title>
          <c:tx>
            <c:rich>
              <a:bodyPr rot="0"/>
              <a:lstStyle/>
              <a:p>
                <a:pPr>
                  <a:defRPr b="0" sz="1300" strike="noStrike" u="none">
                    <a:uFillTx/>
                    <a:latin typeface="Arial"/>
                  </a:defRPr>
                </a:pPr>
                <a:r>
                  <a:rPr b="1" sz="1000" strike="noStrike" u="none">
                    <a:solidFill>
                      <a:srgbClr val="000000"/>
                    </a:solidFill>
                    <a:uFillTx/>
                    <a:latin typeface="Calibri"/>
                  </a:rPr>
                  <a:t>Metric</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7446256"/>
        <c:crossBetween val="between"/>
      </c:valAx>
      <c:spPr>
        <a:noFill/>
        <a:ln w="0">
          <a:noFill/>
        </a:ln>
      </c:spPr>
    </c:plotArea>
    <c:legend>
      <c:legendPos val="r"/>
      <c:overlay val="1"/>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Category-Level Overall Final Scores</a:t>
            </a:r>
          </a:p>
        </c:rich>
      </c:tx>
      <c:overlay val="0"/>
      <c:spPr>
        <a:noFill/>
        <a:ln w="0">
          <a:noFill/>
        </a:ln>
      </c:spPr>
    </c:title>
    <c:autoTitleDeleted val="0"/>
    <c:plotArea>
      <c:barChart>
        <c:barDir val="bar"/>
        <c:grouping val="clustered"/>
        <c:varyColors val="0"/>
        <c:ser>
          <c:idx val="0"/>
          <c:order val="0"/>
          <c:tx>
            <c:strRef>
              <c:f>Category_Analysis!$B$3</c:f>
              <c:strCache>
                <c:ptCount val="1"/>
                <c:pt idx="0">
                  <c:v>Grok Overall Final</c:v>
                </c:pt>
              </c:strCache>
            </c:strRef>
          </c:tx>
          <c:spPr>
            <a:solidFill>
              <a:srgbClr val="4f81b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Category_Analysis!$A$4:$A$13</c:f>
              <c:strCache>
                <c:ptCount val="10"/>
                <c:pt idx="0">
                  <c:v>Factual Knowledge</c:v>
                </c:pt>
                <c:pt idx="1">
                  <c:v>Logical Reasoning</c:v>
                </c:pt>
                <c:pt idx="2">
                  <c:v>Mathematics</c:v>
                </c:pt>
                <c:pt idx="3">
                  <c:v>Reading Comprehension</c:v>
                </c:pt>
                <c:pt idx="4">
                  <c:v>Instruction Following</c:v>
                </c:pt>
                <c:pt idx="5">
                  <c:v>Explanation / Teaching Ability</c:v>
                </c:pt>
                <c:pt idx="6">
                  <c:v>Multi-Step Problem Solving</c:v>
                </c:pt>
                <c:pt idx="7">
                  <c:v>Creative Generation</c:v>
                </c:pt>
                <c:pt idx="8">
                  <c:v>Ethics &amp; Safety</c:v>
                </c:pt>
                <c:pt idx="9">
                  <c:v>Ambiguity &amp; Clarification</c:v>
                </c:pt>
              </c:strCache>
            </c:strRef>
          </c:cat>
          <c:val>
            <c:numRef>
              <c:f>Category_Analysis!$B$4:$B$13</c:f>
              <c:numCache>
                <c:formatCode>0.0</c:formatCode>
                <c:ptCount val="10"/>
                <c:pt idx="0">
                  <c:v>4.55</c:v>
                </c:pt>
                <c:pt idx="1">
                  <c:v>4.525</c:v>
                </c:pt>
                <c:pt idx="2">
                  <c:v>4.5</c:v>
                </c:pt>
                <c:pt idx="3">
                  <c:v>4.725</c:v>
                </c:pt>
                <c:pt idx="4">
                  <c:v>4.6</c:v>
                </c:pt>
                <c:pt idx="5">
                  <c:v>4.8</c:v>
                </c:pt>
                <c:pt idx="6">
                  <c:v>4.5</c:v>
                </c:pt>
                <c:pt idx="7">
                  <c:v>4.75</c:v>
                </c:pt>
                <c:pt idx="8">
                  <c:v>4.8</c:v>
                </c:pt>
                <c:pt idx="9">
                  <c:v>4.75</c:v>
                </c:pt>
              </c:numCache>
            </c:numRef>
          </c:val>
        </c:ser>
        <c:ser>
          <c:idx val="1"/>
          <c:order val="1"/>
          <c:tx>
            <c:strRef>
              <c:f>Category_Analysis!$C$3</c:f>
              <c:strCache>
                <c:ptCount val="1"/>
                <c:pt idx="0">
                  <c:v>Gemini Overall Final</c:v>
                </c:pt>
              </c:strCache>
            </c:strRef>
          </c:tx>
          <c:spPr>
            <a:solidFill>
              <a:srgbClr val="c0504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Category_Analysis!$A$4:$A$13</c:f>
              <c:strCache>
                <c:ptCount val="10"/>
                <c:pt idx="0">
                  <c:v>Factual Knowledge</c:v>
                </c:pt>
                <c:pt idx="1">
                  <c:v>Logical Reasoning</c:v>
                </c:pt>
                <c:pt idx="2">
                  <c:v>Mathematics</c:v>
                </c:pt>
                <c:pt idx="3">
                  <c:v>Reading Comprehension</c:v>
                </c:pt>
                <c:pt idx="4">
                  <c:v>Instruction Following</c:v>
                </c:pt>
                <c:pt idx="5">
                  <c:v>Explanation / Teaching Ability</c:v>
                </c:pt>
                <c:pt idx="6">
                  <c:v>Multi-Step Problem Solving</c:v>
                </c:pt>
                <c:pt idx="7">
                  <c:v>Creative Generation</c:v>
                </c:pt>
                <c:pt idx="8">
                  <c:v>Ethics &amp; Safety</c:v>
                </c:pt>
                <c:pt idx="9">
                  <c:v>Ambiguity &amp; Clarification</c:v>
                </c:pt>
              </c:strCache>
            </c:strRef>
          </c:cat>
          <c:val>
            <c:numRef>
              <c:f>Category_Analysis!$C$4:$C$13</c:f>
              <c:numCache>
                <c:formatCode>0.0</c:formatCode>
                <c:ptCount val="10"/>
                <c:pt idx="0">
                  <c:v>4.5</c:v>
                </c:pt>
                <c:pt idx="1">
                  <c:v>4.65</c:v>
                </c:pt>
                <c:pt idx="2">
                  <c:v>4.5</c:v>
                </c:pt>
                <c:pt idx="3">
                  <c:v>4.825</c:v>
                </c:pt>
                <c:pt idx="4">
                  <c:v>4.825</c:v>
                </c:pt>
                <c:pt idx="5">
                  <c:v>5</c:v>
                </c:pt>
                <c:pt idx="6">
                  <c:v>4.5</c:v>
                </c:pt>
                <c:pt idx="7">
                  <c:v>5</c:v>
                </c:pt>
                <c:pt idx="8">
                  <c:v>5</c:v>
                </c:pt>
                <c:pt idx="9">
                  <c:v>5</c:v>
                </c:pt>
              </c:numCache>
            </c:numRef>
          </c:val>
        </c:ser>
        <c:gapWidth val="150"/>
        <c:overlap val="0"/>
        <c:axId val="79439225"/>
        <c:axId val="46242983"/>
      </c:barChart>
      <c:catAx>
        <c:axId val="79439225"/>
        <c:scaling>
          <c:orientation val="minMax"/>
        </c:scaling>
        <c:delete val="1"/>
        <c:axPos val="b"/>
        <c:title>
          <c:tx>
            <c:rich>
              <a:bodyPr rot="-5400000"/>
              <a:lstStyle/>
              <a:p>
                <a:pPr>
                  <a:defRPr b="0" sz="1300" strike="noStrike" u="none">
                    <a:uFillTx/>
                    <a:latin typeface="Arial"/>
                  </a:defRPr>
                </a:pPr>
                <a:r>
                  <a:rPr b="1" sz="1000" strike="noStrike" u="none">
                    <a:solidFill>
                      <a:srgbClr val="000000"/>
                    </a:solidFill>
                    <a:uFillTx/>
                    <a:latin typeface="Calibri"/>
                  </a:rPr>
                  <a:t>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6242983"/>
        <c:auto val="1"/>
        <c:lblAlgn val="ctr"/>
        <c:lblOffset val="100"/>
        <c:noMultiLvlLbl val="0"/>
      </c:catAx>
      <c:valAx>
        <c:axId val="46242983"/>
        <c:scaling>
          <c:orientation val="minMax"/>
        </c:scaling>
        <c:delete val="1"/>
        <c:axPos val="l"/>
        <c:majorGridlines>
          <c:spPr>
            <a:ln w="9360">
              <a:solidFill>
                <a:srgbClr val="878787"/>
              </a:solidFill>
              <a:round/>
            </a:ln>
          </c:spPr>
        </c:majorGridlines>
        <c:title>
          <c:tx>
            <c:rich>
              <a:bodyPr rot="0"/>
              <a:lstStyle/>
              <a:p>
                <a:pPr>
                  <a:defRPr b="0" sz="1300" strike="noStrike" u="none">
                    <a:uFillTx/>
                    <a:latin typeface="Arial"/>
                  </a:defRPr>
                </a:pPr>
                <a:r>
                  <a:rPr b="1" sz="1000" strike="noStrike" u="none">
                    <a:solidFill>
                      <a:srgbClr val="000000"/>
                    </a:solidFill>
                    <a:uFillTx/>
                    <a:latin typeface="Calibri"/>
                  </a:rPr>
                  <a:t>Category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9439225"/>
        <c:crossBetween val="between"/>
      </c:valAx>
      <c:spPr>
        <a:noFill/>
        <a:ln w="0">
          <a:noFill/>
        </a:ln>
      </c:spPr>
    </c:plotArea>
    <c:legend>
      <c:legendPos val="r"/>
      <c:overlay val="1"/>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Failure Type Distribution</a:t>
            </a:r>
          </a:p>
        </c:rich>
      </c:tx>
      <c:overlay val="0"/>
      <c:spPr>
        <a:noFill/>
        <a:ln w="0">
          <a:noFill/>
        </a:ln>
      </c:spPr>
    </c:title>
    <c:autoTitleDeleted val="0"/>
    <c:plotArea>
      <c:barChart>
        <c:barDir val="col"/>
        <c:grouping val="clustered"/>
        <c:varyColors val="0"/>
        <c:ser>
          <c:idx val="0"/>
          <c:order val="0"/>
          <c:tx>
            <c:strRef>
              <c:f>Failure_Analysis!$B$3</c:f>
              <c:strCache>
                <c:ptCount val="1"/>
                <c:pt idx="0">
                  <c:v>Grok Count</c:v>
                </c:pt>
              </c:strCache>
            </c:strRef>
          </c:tx>
          <c:spPr>
            <a:solidFill>
              <a:srgbClr val="4f81b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Failure_Analysis!$A$4:$A$11</c:f>
              <c:strCache>
                <c:ptCount val="8"/>
                <c:pt idx="0">
                  <c:v>factual error</c:v>
                </c:pt>
                <c:pt idx="1">
                  <c:v>hallucination</c:v>
                </c:pt>
                <c:pt idx="2">
                  <c:v>incorrect reasoning</c:v>
                </c:pt>
                <c:pt idx="3">
                  <c:v>incomplete answer</c:v>
                </c:pt>
                <c:pt idx="4">
                  <c:v>instruction failure</c:v>
                </c:pt>
                <c:pt idx="5">
                  <c:v>unclear explanation</c:v>
                </c:pt>
                <c:pt idx="6">
                  <c:v>bias issue</c:v>
                </c:pt>
                <c:pt idx="7">
                  <c:v>safety concern</c:v>
                </c:pt>
              </c:strCache>
            </c:strRef>
          </c:cat>
          <c:val>
            <c:numRef>
              <c:f>Failure_Analysis!$B$4:$B$11</c:f>
              <c:numCache>
                <c:formatCode>General</c:formatCode>
                <c:ptCount val="8"/>
                <c:pt idx="0">
                  <c:v>13</c:v>
                </c:pt>
                <c:pt idx="1">
                  <c:v>0</c:v>
                </c:pt>
                <c:pt idx="2">
                  <c:v>0</c:v>
                </c:pt>
                <c:pt idx="3">
                  <c:v>0</c:v>
                </c:pt>
                <c:pt idx="4">
                  <c:v>0</c:v>
                </c:pt>
                <c:pt idx="5">
                  <c:v>0</c:v>
                </c:pt>
                <c:pt idx="6">
                  <c:v>0</c:v>
                </c:pt>
                <c:pt idx="7">
                  <c:v>0</c:v>
                </c:pt>
              </c:numCache>
            </c:numRef>
          </c:val>
        </c:ser>
        <c:ser>
          <c:idx val="1"/>
          <c:order val="1"/>
          <c:tx>
            <c:strRef>
              <c:f>Failure_Analysis!$C$3</c:f>
              <c:strCache>
                <c:ptCount val="1"/>
                <c:pt idx="0">
                  <c:v>Gemini Count</c:v>
                </c:pt>
              </c:strCache>
            </c:strRef>
          </c:tx>
          <c:spPr>
            <a:solidFill>
              <a:srgbClr val="c0504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Failure_Analysis!$A$4:$A$11</c:f>
              <c:strCache>
                <c:ptCount val="8"/>
                <c:pt idx="0">
                  <c:v>factual error</c:v>
                </c:pt>
                <c:pt idx="1">
                  <c:v>hallucination</c:v>
                </c:pt>
                <c:pt idx="2">
                  <c:v>incorrect reasoning</c:v>
                </c:pt>
                <c:pt idx="3">
                  <c:v>incomplete answer</c:v>
                </c:pt>
                <c:pt idx="4">
                  <c:v>instruction failure</c:v>
                </c:pt>
                <c:pt idx="5">
                  <c:v>unclear explanation</c:v>
                </c:pt>
                <c:pt idx="6">
                  <c:v>bias issue</c:v>
                </c:pt>
                <c:pt idx="7">
                  <c:v>safety concern</c:v>
                </c:pt>
              </c:strCache>
            </c:strRef>
          </c:cat>
          <c:val>
            <c:numRef>
              <c:f>Failure_Analysis!$C$4:$C$11</c:f>
              <c:numCache>
                <c:formatCode>General</c:formatCode>
                <c:ptCount val="8"/>
                <c:pt idx="0">
                  <c:v>0</c:v>
                </c:pt>
                <c:pt idx="1">
                  <c:v>0</c:v>
                </c:pt>
                <c:pt idx="2">
                  <c:v>0</c:v>
                </c:pt>
                <c:pt idx="3">
                  <c:v>0</c:v>
                </c:pt>
                <c:pt idx="4">
                  <c:v>0</c:v>
                </c:pt>
                <c:pt idx="5">
                  <c:v>0</c:v>
                </c:pt>
                <c:pt idx="6">
                  <c:v>0</c:v>
                </c:pt>
                <c:pt idx="7">
                  <c:v>0</c:v>
                </c:pt>
              </c:numCache>
            </c:numRef>
          </c:val>
        </c:ser>
        <c:gapWidth val="150"/>
        <c:overlap val="0"/>
        <c:axId val="85625956"/>
        <c:axId val="15467507"/>
      </c:barChart>
      <c:catAx>
        <c:axId val="85625956"/>
        <c:scaling>
          <c:orientation val="minMax"/>
        </c:scaling>
        <c:delete val="1"/>
        <c:axPos val="b"/>
        <c:title>
          <c:tx>
            <c:rich>
              <a:bodyPr rot="0"/>
              <a:lstStyle/>
              <a:p>
                <a:pPr>
                  <a:defRPr b="0" sz="1300" strike="noStrike" u="none">
                    <a:uFillTx/>
                    <a:latin typeface="Arial"/>
                  </a:defRPr>
                </a:pPr>
                <a:r>
                  <a:rPr b="1" sz="1000" strike="noStrike" u="none">
                    <a:solidFill>
                      <a:srgbClr val="000000"/>
                    </a:solidFill>
                    <a:uFillTx/>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5467507"/>
        <c:auto val="1"/>
        <c:lblAlgn val="ctr"/>
        <c:lblOffset val="100"/>
        <c:noMultiLvlLbl val="0"/>
      </c:catAx>
      <c:valAx>
        <c:axId val="15467507"/>
        <c:scaling>
          <c:orientation val="minMax"/>
        </c:scaling>
        <c:delete val="1"/>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Error Type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5625956"/>
        <c:crossBetween val="between"/>
      </c:valAx>
      <c:spPr>
        <a:noFill/>
        <a:ln w="0">
          <a:noFill/>
        </a:ln>
      </c:spPr>
    </c:plotArea>
    <c:legend>
      <c:legendPos val="r"/>
      <c:overlay val="1"/>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Model Performance by Difficulty</a:t>
            </a:r>
          </a:p>
        </c:rich>
      </c:tx>
      <c:overlay val="0"/>
      <c:spPr>
        <a:noFill/>
        <a:ln w="0">
          <a:noFill/>
        </a:ln>
      </c:spPr>
    </c:title>
    <c:autoTitleDeleted val="0"/>
    <c:plotArea>
      <c:barChart>
        <c:barDir val="bar"/>
        <c:grouping val="clustered"/>
        <c:varyColors val="0"/>
        <c:ser>
          <c:idx val="0"/>
          <c:order val="0"/>
          <c:tx>
            <c:strRef>
              <c:f>Difficulty_Analysis!$B$3</c:f>
              <c:strCache>
                <c:ptCount val="1"/>
                <c:pt idx="0">
                  <c:v>Grok Overall Final</c:v>
                </c:pt>
              </c:strCache>
            </c:strRef>
          </c:tx>
          <c:spPr>
            <a:solidFill>
              <a:srgbClr val="4f81b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Difficulty_Analysis!$A$4:$A$6</c:f>
              <c:strCache>
                <c:ptCount val="3"/>
                <c:pt idx="0">
                  <c:v>Easy</c:v>
                </c:pt>
                <c:pt idx="1">
                  <c:v>Medium</c:v>
                </c:pt>
                <c:pt idx="2">
                  <c:v>Hard</c:v>
                </c:pt>
              </c:strCache>
            </c:strRef>
          </c:cat>
          <c:val>
            <c:numRef>
              <c:f>Difficulty_Analysis!$B$4:$B$6</c:f>
              <c:numCache>
                <c:formatCode>0.0</c:formatCode>
                <c:ptCount val="3"/>
                <c:pt idx="0">
                  <c:v>4.55</c:v>
                </c:pt>
                <c:pt idx="1">
                  <c:v>4.68333333333333</c:v>
                </c:pt>
                <c:pt idx="2">
                  <c:v>4.75</c:v>
                </c:pt>
              </c:numCache>
            </c:numRef>
          </c:val>
        </c:ser>
        <c:ser>
          <c:idx val="1"/>
          <c:order val="1"/>
          <c:tx>
            <c:strRef>
              <c:f>Difficulty_Analysis!$C$3</c:f>
              <c:strCache>
                <c:ptCount val="1"/>
                <c:pt idx="0">
                  <c:v>Gemini Overall Final</c:v>
                </c:pt>
              </c:strCache>
            </c:strRef>
          </c:tx>
          <c:spPr>
            <a:solidFill>
              <a:srgbClr val="c0504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Difficulty_Analysis!$A$4:$A$6</c:f>
              <c:strCache>
                <c:ptCount val="3"/>
                <c:pt idx="0">
                  <c:v>Easy</c:v>
                </c:pt>
                <c:pt idx="1">
                  <c:v>Medium</c:v>
                </c:pt>
                <c:pt idx="2">
                  <c:v>Hard</c:v>
                </c:pt>
              </c:strCache>
            </c:strRef>
          </c:cat>
          <c:val>
            <c:numRef>
              <c:f>Difficulty_Analysis!$C$4:$C$6</c:f>
              <c:numCache>
                <c:formatCode>0.0</c:formatCode>
                <c:ptCount val="3"/>
                <c:pt idx="0">
                  <c:v>4.60833333333333</c:v>
                </c:pt>
                <c:pt idx="1">
                  <c:v>4.82916666666667</c:v>
                </c:pt>
                <c:pt idx="2">
                  <c:v>5</c:v>
                </c:pt>
              </c:numCache>
            </c:numRef>
          </c:val>
        </c:ser>
        <c:gapWidth val="150"/>
        <c:overlap val="0"/>
        <c:axId val="44442522"/>
        <c:axId val="5999904"/>
      </c:barChart>
      <c:catAx>
        <c:axId val="44442522"/>
        <c:scaling>
          <c:orientation val="minMax"/>
        </c:scaling>
        <c:delete val="1"/>
        <c:axPos val="b"/>
        <c:title>
          <c:tx>
            <c:rich>
              <a:bodyPr rot="-5400000"/>
              <a:lstStyle/>
              <a:p>
                <a:pPr>
                  <a:defRPr b="0" sz="1300" strike="noStrike" u="none">
                    <a:uFillTx/>
                    <a:latin typeface="Arial"/>
                  </a:defRPr>
                </a:pPr>
                <a:r>
                  <a:rPr b="1" sz="1000" strike="noStrike" u="none">
                    <a:solidFill>
                      <a:srgbClr val="000000"/>
                    </a:solidFill>
                    <a:uFillTx/>
                    <a:latin typeface="Calibri"/>
                  </a:rPr>
                  <a:t>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999904"/>
        <c:auto val="1"/>
        <c:lblAlgn val="ctr"/>
        <c:lblOffset val="100"/>
        <c:noMultiLvlLbl val="0"/>
      </c:catAx>
      <c:valAx>
        <c:axId val="5999904"/>
        <c:scaling>
          <c:orientation val="minMax"/>
        </c:scaling>
        <c:delete val="1"/>
        <c:axPos val="l"/>
        <c:majorGridlines>
          <c:spPr>
            <a:ln w="9360">
              <a:solidFill>
                <a:srgbClr val="878787"/>
              </a:solidFill>
              <a:round/>
            </a:ln>
          </c:spPr>
        </c:majorGridlines>
        <c:title>
          <c:tx>
            <c:rich>
              <a:bodyPr rot="0"/>
              <a:lstStyle/>
              <a:p>
                <a:pPr>
                  <a:defRPr b="0" sz="1300" strike="noStrike" u="none">
                    <a:uFillTx/>
                    <a:latin typeface="Arial"/>
                  </a:defRPr>
                </a:pPr>
                <a:r>
                  <a:rPr b="1" sz="1000" strike="noStrike" u="none">
                    <a:solidFill>
                      <a:srgbClr val="000000"/>
                    </a:solidFill>
                    <a:uFillTx/>
                    <a:latin typeface="Calibri"/>
                  </a:rPr>
                  <a:t>Difficulty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4442522"/>
        <c:crossBetween val="between"/>
      </c:valAx>
      <c:spPr>
        <a:noFill/>
        <a:ln w="0">
          <a:noFill/>
        </a:ln>
      </c:spPr>
    </c:plotArea>
    <c:legend>
      <c:legendPos val="r"/>
      <c:overlay val="1"/>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Leaderboard by Overall Score</a:t>
            </a:r>
          </a:p>
        </c:rich>
      </c:tx>
      <c:overlay val="0"/>
      <c:spPr>
        <a:noFill/>
        <a:ln w="0">
          <a:noFill/>
        </a:ln>
      </c:spPr>
    </c:title>
    <c:autoTitleDeleted val="0"/>
    <c:plotArea>
      <c:barChart>
        <c:barDir val="bar"/>
        <c:grouping val="clustered"/>
        <c:varyColors val="1"/>
        <c:ser>
          <c:idx val="0"/>
          <c:order val="0"/>
          <c:tx>
            <c:strRef>
              <c:f>Leaderboard!$C$3</c:f>
              <c:strCache>
                <c:ptCount val="1"/>
                <c:pt idx="0">
                  <c:v>Overall Score</c:v>
                </c:pt>
              </c:strCache>
            </c:strRef>
          </c:tx>
          <c:spPr>
            <a:solidFill>
              <a:srgbClr val="4f81bd"/>
            </a:solidFill>
            <a:ln w="0">
              <a:noFill/>
            </a:ln>
          </c:spPr>
          <c:invertIfNegative val="0"/>
          <c:dPt>
            <c:idx val="0"/>
            <c:spPr>
              <a:solidFill>
                <a:srgbClr val="4f81bd"/>
              </a:solidFill>
              <a:ln w="0">
                <a:noFill/>
              </a:ln>
            </c:spPr>
          </c:dPt>
          <c:dPt>
            <c:idx val="1"/>
            <c:spPr>
              <a:solidFill>
                <a:srgbClr val="c0504d"/>
              </a:solidFill>
              <a:ln w="0">
                <a:noFill/>
              </a:ln>
            </c:spPr>
          </c:dPt>
          <c:dLbls>
            <c:dLbl>
              <c:idx val="0"/>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dLbl>
            <c:dLbl>
              <c:idx val="1"/>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dLbl>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Leaderboard!$B$4:$B$5</c:f>
              <c:strCache>
                <c:ptCount val="2"/>
                <c:pt idx="0">
                  <c:v>Gemini</c:v>
                </c:pt>
                <c:pt idx="1">
                  <c:v>Grok</c:v>
                </c:pt>
              </c:strCache>
            </c:strRef>
          </c:cat>
          <c:val>
            <c:numRef>
              <c:f>Leaderboard!$C$4:$C$5</c:f>
              <c:numCache>
                <c:formatCode>0.0</c:formatCode>
                <c:ptCount val="2"/>
                <c:pt idx="0">
                  <c:v>4.78</c:v>
                </c:pt>
                <c:pt idx="1">
                  <c:v>4.65</c:v>
                </c:pt>
              </c:numCache>
            </c:numRef>
          </c:val>
        </c:ser>
        <c:gapWidth val="150"/>
        <c:overlap val="0"/>
        <c:axId val="90624398"/>
        <c:axId val="95494053"/>
      </c:barChart>
      <c:catAx>
        <c:axId val="90624398"/>
        <c:scaling>
          <c:orientation val="minMax"/>
        </c:scaling>
        <c:delete val="1"/>
        <c:axPos val="b"/>
        <c:title>
          <c:tx>
            <c:rich>
              <a:bodyPr rot="-5400000"/>
              <a:lstStyle/>
              <a:p>
                <a:pPr>
                  <a:defRPr b="0" sz="1300" strike="noStrike" u="none">
                    <a:uFillTx/>
                    <a:latin typeface="Arial"/>
                  </a:defRPr>
                </a:pPr>
                <a:r>
                  <a:rPr b="1" sz="1000" strike="noStrike" u="none">
                    <a:solidFill>
                      <a:srgbClr val="000000"/>
                    </a:solidFill>
                    <a:uFillTx/>
                    <a:latin typeface="Calibri"/>
                  </a:rPr>
                  <a:t>Overall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5494053"/>
        <c:auto val="1"/>
        <c:lblAlgn val="ctr"/>
        <c:lblOffset val="100"/>
        <c:noMultiLvlLbl val="0"/>
      </c:catAx>
      <c:valAx>
        <c:axId val="95494053"/>
        <c:scaling>
          <c:orientation val="minMax"/>
        </c:scaling>
        <c:delete val="1"/>
        <c:axPos val="l"/>
        <c:majorGridlines>
          <c:spPr>
            <a:ln w="9360">
              <a:solidFill>
                <a:srgbClr val="878787"/>
              </a:solidFill>
              <a:round/>
            </a:ln>
          </c:spPr>
        </c:majorGridlines>
        <c:title>
          <c:tx>
            <c:rich>
              <a:bodyPr rot="0"/>
              <a:lstStyle/>
              <a:p>
                <a:pPr>
                  <a:defRPr b="0" sz="1300" strike="noStrike" u="none">
                    <a:uFillTx/>
                    <a:latin typeface="Arial"/>
                  </a:defRPr>
                </a:pPr>
                <a:r>
                  <a:rPr b="1" sz="1000" strike="noStrike" u="none">
                    <a:solidFill>
                      <a:srgbClr val="000000"/>
                    </a:solidFill>
                    <a:uFillTx/>
                    <a:latin typeface="Calibri"/>
                  </a:rPr>
                  <a:t>Model</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0624398"/>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_rels/drawing4.xml.rels><?xml version="1.0" encoding="UTF-8"?>
<Relationships xmlns="http://schemas.openxmlformats.org/package/2006/relationships"><Relationship Id="rId1" Type="http://schemas.openxmlformats.org/officeDocument/2006/relationships/chart" Target="../charts/chart7.xml"/>
</Relationships>
</file>

<file path=xl/drawings/_rels/drawing5.xml.rels><?xml version="1.0" encoding="UTF-8"?>
<Relationships xmlns="http://schemas.openxmlformats.org/package/2006/relationships"><Relationship Id="rId1" Type="http://schemas.openxmlformats.org/officeDocument/2006/relationships/chart" Target="../charts/chart8.xml"/>
</Relationships>
</file>

<file path=xl/drawings/_rels/drawing6.xml.rels><?xml version="1.0" encoding="UTF-8"?>
<Relationships xmlns="http://schemas.openxmlformats.org/package/2006/relationships"><Relationship Id="rId1" Type="http://schemas.openxmlformats.org/officeDocument/2006/relationships/chart" Target="../charts/chart9.xml"/>
</Relationships>
</file>

<file path=xl/drawings/_rels/drawing7.xml.rels><?xml version="1.0" encoding="UTF-8"?>
<Relationships xmlns="http://schemas.openxmlformats.org/package/2006/relationships"><Relationship Id="rId1"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10</xdr:row>
      <xdr:rowOff>0</xdr:rowOff>
    </xdr:from>
    <xdr:to>
      <xdr:col>3</xdr:col>
      <xdr:colOff>279360</xdr:colOff>
      <xdr:row>20</xdr:row>
      <xdr:rowOff>140400</xdr:rowOff>
    </xdr:to>
    <xdr:graphicFrame>
      <xdr:nvGraphicFramePr>
        <xdr:cNvPr id="0" name="Chart 1"/>
        <xdr:cNvGraphicFramePr/>
      </xdr:nvGraphicFramePr>
      <xdr:xfrm>
        <a:off x="0" y="2247840"/>
        <a:ext cx="323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10</xdr:row>
      <xdr:rowOff>0</xdr:rowOff>
    </xdr:from>
    <xdr:to>
      <xdr:col>6</xdr:col>
      <xdr:colOff>702360</xdr:colOff>
      <xdr:row>20</xdr:row>
      <xdr:rowOff>140400</xdr:rowOff>
    </xdr:to>
    <xdr:graphicFrame>
      <xdr:nvGraphicFramePr>
        <xdr:cNvPr id="1" name="Chart 2"/>
        <xdr:cNvGraphicFramePr/>
      </xdr:nvGraphicFramePr>
      <xdr:xfrm>
        <a:off x="3735720" y="2247840"/>
        <a:ext cx="3239640" cy="21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33</xdr:row>
      <xdr:rowOff>0</xdr:rowOff>
    </xdr:from>
    <xdr:to>
      <xdr:col>4</xdr:col>
      <xdr:colOff>223920</xdr:colOff>
      <xdr:row>51</xdr:row>
      <xdr:rowOff>170640</xdr:rowOff>
    </xdr:to>
    <xdr:graphicFrame>
      <xdr:nvGraphicFramePr>
        <xdr:cNvPr id="2" name="Chart 3"/>
        <xdr:cNvGraphicFramePr/>
      </xdr:nvGraphicFramePr>
      <xdr:xfrm>
        <a:off x="0" y="6743880"/>
        <a:ext cx="3959640" cy="35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0</xdr:colOff>
      <xdr:row>33</xdr:row>
      <xdr:rowOff>0</xdr:rowOff>
    </xdr:from>
    <xdr:to>
      <xdr:col>8</xdr:col>
      <xdr:colOff>294480</xdr:colOff>
      <xdr:row>51</xdr:row>
      <xdr:rowOff>170640</xdr:rowOff>
    </xdr:to>
    <xdr:graphicFrame>
      <xdr:nvGraphicFramePr>
        <xdr:cNvPr id="3" name="Chart 4"/>
        <xdr:cNvGraphicFramePr/>
      </xdr:nvGraphicFramePr>
      <xdr:xfrm>
        <a:off x="3735720" y="6743880"/>
        <a:ext cx="3959640" cy="35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0</xdr:rowOff>
    </xdr:from>
    <xdr:to>
      <xdr:col>12</xdr:col>
      <xdr:colOff>147600</xdr:colOff>
      <xdr:row>16</xdr:row>
      <xdr:rowOff>12600</xdr:rowOff>
    </xdr:to>
    <xdr:graphicFrame>
      <xdr:nvGraphicFramePr>
        <xdr:cNvPr id="4" name="Chart 1"/>
        <xdr:cNvGraphicFramePr/>
      </xdr:nvGraphicFramePr>
      <xdr:xfrm>
        <a:off x="3994920" y="42876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19</xdr:row>
      <xdr:rowOff>0</xdr:rowOff>
    </xdr:from>
    <xdr:to>
      <xdr:col>12</xdr:col>
      <xdr:colOff>147600</xdr:colOff>
      <xdr:row>34</xdr:row>
      <xdr:rowOff>21960</xdr:rowOff>
    </xdr:to>
    <xdr:graphicFrame>
      <xdr:nvGraphicFramePr>
        <xdr:cNvPr id="5" name="Chart 2"/>
        <xdr:cNvGraphicFramePr/>
      </xdr:nvGraphicFramePr>
      <xdr:xfrm>
        <a:off x="3994920" y="3867120"/>
        <a:ext cx="503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0</xdr:rowOff>
    </xdr:from>
    <xdr:to>
      <xdr:col>13</xdr:col>
      <xdr:colOff>255960</xdr:colOff>
      <xdr:row>24</xdr:row>
      <xdr:rowOff>128880</xdr:rowOff>
    </xdr:to>
    <xdr:graphicFrame>
      <xdr:nvGraphicFramePr>
        <xdr:cNvPr id="6" name="Chart 1"/>
        <xdr:cNvGraphicFramePr/>
      </xdr:nvGraphicFramePr>
      <xdr:xfrm>
        <a:off x="5263560" y="428760"/>
        <a:ext cx="575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0</xdr:rowOff>
    </xdr:from>
    <xdr:to>
      <xdr:col>14</xdr:col>
      <xdr:colOff>364680</xdr:colOff>
      <xdr:row>20</xdr:row>
      <xdr:rowOff>170640</xdr:rowOff>
    </xdr:to>
    <xdr:graphicFrame>
      <xdr:nvGraphicFramePr>
        <xdr:cNvPr id="7" name="Chart 1"/>
        <xdr:cNvGraphicFramePr/>
      </xdr:nvGraphicFramePr>
      <xdr:xfrm>
        <a:off x="4699800" y="428760"/>
        <a:ext cx="647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0</xdr:rowOff>
    </xdr:from>
    <xdr:to>
      <xdr:col>11</xdr:col>
      <xdr:colOff>38880</xdr:colOff>
      <xdr:row>13</xdr:row>
      <xdr:rowOff>64440</xdr:rowOff>
    </xdr:to>
    <xdr:graphicFrame>
      <xdr:nvGraphicFramePr>
        <xdr:cNvPr id="8" name="Chart 1"/>
        <xdr:cNvGraphicFramePr/>
      </xdr:nvGraphicFramePr>
      <xdr:xfrm>
        <a:off x="4488120" y="428760"/>
        <a:ext cx="431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0</xdr:rowOff>
    </xdr:from>
    <xdr:to>
      <xdr:col>13</xdr:col>
      <xdr:colOff>542160</xdr:colOff>
      <xdr:row>11</xdr:row>
      <xdr:rowOff>84960</xdr:rowOff>
    </xdr:to>
    <xdr:graphicFrame>
      <xdr:nvGraphicFramePr>
        <xdr:cNvPr id="9" name="Chart 1"/>
        <xdr:cNvGraphicFramePr/>
      </xdr:nvGraphicFramePr>
      <xdr:xfrm>
        <a:off x="8083080" y="457200"/>
        <a:ext cx="3599640" cy="17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4" min="2" style="0" width="11"/>
    <col collapsed="false" customWidth="true" hidden="false" outlineLevel="0" max="5" min="5" style="0" width="24"/>
    <col collapsed="false" customWidth="true" hidden="false" outlineLevel="0" max="7" min="6" style="0" width="12"/>
    <col collapsed="false" customWidth="true" hidden="false" outlineLevel="0" max="8" min="8" style="0" width="4"/>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2" t="s">
        <v>1</v>
      </c>
      <c r="B2" s="2"/>
      <c r="C2" s="2"/>
      <c r="D2" s="2"/>
      <c r="E2" s="2"/>
      <c r="F2" s="2"/>
      <c r="G2" s="2"/>
      <c r="H2" s="2"/>
    </row>
    <row r="4" customFormat="false" ht="24" hidden="false" customHeight="true" outlineLevel="0" collapsed="false">
      <c r="A4" s="3" t="s">
        <v>2</v>
      </c>
      <c r="B4" s="3"/>
      <c r="C4" s="3"/>
      <c r="D4" s="3"/>
      <c r="E4" s="3" t="s">
        <v>3</v>
      </c>
      <c r="F4" s="3"/>
      <c r="G4" s="3"/>
      <c r="H4" s="3"/>
    </row>
    <row r="6" customFormat="false" ht="15" hidden="false" customHeight="false" outlineLevel="0" collapsed="false">
      <c r="A6" s="4" t="s">
        <v>4</v>
      </c>
      <c r="B6" s="4" t="s">
        <v>5</v>
      </c>
      <c r="C6" s="4" t="s">
        <v>6</v>
      </c>
      <c r="D6" s="4" t="s">
        <v>7</v>
      </c>
      <c r="E6" s="4" t="s">
        <v>8</v>
      </c>
      <c r="F6" s="4" t="s">
        <v>9</v>
      </c>
      <c r="G6" s="4" t="s">
        <v>10</v>
      </c>
    </row>
    <row r="7" customFormat="false" ht="15" hidden="false" customHeight="false" outlineLevel="0" collapsed="false">
      <c r="A7" s="0" t="str">
        <f aca="false">Leaderboard!B4</f>
        <v>Gemini</v>
      </c>
      <c r="B7" s="5" t="n">
        <f aca="false">Leaderboard!C4</f>
        <v>4.78</v>
      </c>
      <c r="C7" s="5" t="n">
        <f aca="false">Leaderboard!D4</f>
        <v>5</v>
      </c>
      <c r="D7" s="5" t="n">
        <f aca="false">Leaderboard!E4</f>
        <v>4.55</v>
      </c>
      <c r="E7" s="5" t="str">
        <f aca="false">Summary!A13</f>
        <v>Responses Collected</v>
      </c>
      <c r="F7" s="5" t="n">
        <f aca="false">Summary!B13</f>
        <v>100</v>
      </c>
      <c r="G7" s="5" t="n">
        <f aca="false">Summary!C13</f>
        <v>100</v>
      </c>
    </row>
    <row r="8" customFormat="false" ht="15" hidden="false" customHeight="false" outlineLevel="0" collapsed="false">
      <c r="A8" s="0" t="str">
        <f aca="false">Leaderboard!B5</f>
        <v>Grok</v>
      </c>
      <c r="B8" s="5" t="n">
        <f aca="false">Leaderboard!C5</f>
        <v>4.65</v>
      </c>
      <c r="C8" s="5" t="n">
        <f aca="false">Leaderboard!D5</f>
        <v>4.5</v>
      </c>
      <c r="D8" s="5" t="n">
        <f aca="false">Leaderboard!E5</f>
        <v>4.53</v>
      </c>
      <c r="E8" s="5" t="str">
        <f aca="false">Summary!A14</f>
        <v>Scored Responses</v>
      </c>
      <c r="F8" s="5" t="n">
        <f aca="false">Summary!B14</f>
        <v>100</v>
      </c>
      <c r="G8" s="5" t="n">
        <f aca="false">Summary!C14</f>
        <v>100</v>
      </c>
    </row>
    <row r="9" customFormat="false" ht="15" hidden="false" customHeight="false" outlineLevel="0" collapsed="false">
      <c r="E9" s="0" t="str">
        <f aca="false">Summary!A15</f>
        <v>GT Prompts</v>
      </c>
      <c r="F9" s="5" t="n">
        <f aca="false">Summary!B15</f>
        <v>60</v>
      </c>
      <c r="G9" s="5" t="n">
        <f aca="false">Summary!C15</f>
        <v>60</v>
      </c>
    </row>
    <row r="10" customFormat="false" ht="15" hidden="false" customHeight="false" outlineLevel="0" collapsed="false">
      <c r="E10" s="0" t="str">
        <f aca="false">Summary!A16</f>
        <v>Flagged Errors</v>
      </c>
      <c r="F10" s="5" t="n">
        <f aca="false">Summary!B16</f>
        <v>13</v>
      </c>
      <c r="G10" s="5" t="n">
        <f aca="false">Summary!C16</f>
        <v>0</v>
      </c>
    </row>
    <row r="11" customFormat="false" ht="15" hidden="false" customHeight="false" outlineLevel="0" collapsed="false">
      <c r="E11" s="0" t="str">
        <f aca="false">Summary!A17</f>
        <v>Data Rows</v>
      </c>
      <c r="F11" s="5" t="n">
        <f aca="false">Summary!B17</f>
        <v>200</v>
      </c>
      <c r="G11" s="5" t="str">
        <f aca="false">Summary!C17</f>
        <v/>
      </c>
    </row>
    <row r="20" customFormat="false" ht="24" hidden="false" customHeight="true" outlineLevel="0" collapsed="false">
      <c r="A20" s="3" t="s">
        <v>11</v>
      </c>
      <c r="B20" s="3"/>
      <c r="C20" s="3"/>
      <c r="D20" s="3"/>
      <c r="E20" s="3" t="s">
        <v>12</v>
      </c>
      <c r="F20" s="3"/>
      <c r="G20" s="3"/>
      <c r="H20" s="3"/>
    </row>
    <row r="22" customFormat="false" ht="15" hidden="false" customHeight="false" outlineLevel="0" collapsed="false">
      <c r="A22" s="4" t="s">
        <v>13</v>
      </c>
      <c r="B22" s="4" t="s">
        <v>9</v>
      </c>
      <c r="C22" s="4" t="s">
        <v>10</v>
      </c>
      <c r="D22" s="4"/>
      <c r="E22" s="4" t="s">
        <v>14</v>
      </c>
      <c r="F22" s="4" t="s">
        <v>9</v>
      </c>
      <c r="G22" s="4" t="s">
        <v>10</v>
      </c>
    </row>
    <row r="23" customFormat="false" ht="15" hidden="false" customHeight="false" outlineLevel="0" collapsed="false">
      <c r="A23" s="0" t="str">
        <f aca="false">Category_Analysis!A4</f>
        <v>Factual Knowledge</v>
      </c>
      <c r="B23" s="5" t="n">
        <f aca="false">Category_Analysis!B4</f>
        <v>4.55</v>
      </c>
      <c r="C23" s="5" t="n">
        <f aca="false">Category_Analysis!C4</f>
        <v>4.5</v>
      </c>
      <c r="E23" s="0" t="str">
        <f aca="false">Failure_Analysis!A4</f>
        <v>factual error</v>
      </c>
      <c r="F23" s="0" t="n">
        <f aca="false">Failure_Analysis!B4</f>
        <v>13</v>
      </c>
      <c r="G23" s="0" t="n">
        <f aca="false">Failure_Analysis!C4</f>
        <v>0</v>
      </c>
    </row>
    <row r="24" customFormat="false" ht="15" hidden="false" customHeight="false" outlineLevel="0" collapsed="false">
      <c r="A24" s="0" t="str">
        <f aca="false">Category_Analysis!A5</f>
        <v>Logical Reasoning</v>
      </c>
      <c r="B24" s="5" t="n">
        <f aca="false">Category_Analysis!B5</f>
        <v>4.525</v>
      </c>
      <c r="C24" s="5" t="n">
        <f aca="false">Category_Analysis!C5</f>
        <v>4.65</v>
      </c>
      <c r="E24" s="0" t="str">
        <f aca="false">Failure_Analysis!A5</f>
        <v>hallucination</v>
      </c>
      <c r="F24" s="0" t="n">
        <f aca="false">Failure_Analysis!B5</f>
        <v>0</v>
      </c>
      <c r="G24" s="0" t="n">
        <f aca="false">Failure_Analysis!C5</f>
        <v>0</v>
      </c>
    </row>
    <row r="25" customFormat="false" ht="15" hidden="false" customHeight="false" outlineLevel="0" collapsed="false">
      <c r="A25" s="0" t="str">
        <f aca="false">Category_Analysis!A6</f>
        <v>Mathematics</v>
      </c>
      <c r="B25" s="5" t="n">
        <f aca="false">Category_Analysis!B6</f>
        <v>4.5</v>
      </c>
      <c r="C25" s="5" t="n">
        <f aca="false">Category_Analysis!C6</f>
        <v>4.5</v>
      </c>
      <c r="E25" s="0" t="str">
        <f aca="false">Failure_Analysis!A6</f>
        <v>incorrect reasoning</v>
      </c>
      <c r="F25" s="0" t="n">
        <f aca="false">Failure_Analysis!B6</f>
        <v>0</v>
      </c>
      <c r="G25" s="0" t="n">
        <f aca="false">Failure_Analysis!C6</f>
        <v>0</v>
      </c>
    </row>
    <row r="26" customFormat="false" ht="15" hidden="false" customHeight="false" outlineLevel="0" collapsed="false">
      <c r="A26" s="0" t="str">
        <f aca="false">Category_Analysis!A7</f>
        <v>Reading Comprehension</v>
      </c>
      <c r="B26" s="5" t="n">
        <f aca="false">Category_Analysis!B7</f>
        <v>4.725</v>
      </c>
      <c r="C26" s="5" t="n">
        <f aca="false">Category_Analysis!C7</f>
        <v>4.825</v>
      </c>
      <c r="E26" s="0" t="str">
        <f aca="false">Failure_Analysis!A7</f>
        <v>incomplete answer</v>
      </c>
      <c r="F26" s="0" t="n">
        <f aca="false">Failure_Analysis!B7</f>
        <v>0</v>
      </c>
      <c r="G26" s="0" t="n">
        <f aca="false">Failure_Analysis!C7</f>
        <v>0</v>
      </c>
    </row>
    <row r="27" customFormat="false" ht="15" hidden="false" customHeight="false" outlineLevel="0" collapsed="false">
      <c r="A27" s="0" t="str">
        <f aca="false">Category_Analysis!A8</f>
        <v>Instruction Following</v>
      </c>
      <c r="B27" s="5" t="n">
        <f aca="false">Category_Analysis!B8</f>
        <v>4.6</v>
      </c>
      <c r="C27" s="5" t="n">
        <f aca="false">Category_Analysis!C8</f>
        <v>4.825</v>
      </c>
      <c r="E27" s="0" t="str">
        <f aca="false">Failure_Analysis!A8</f>
        <v>instruction failure</v>
      </c>
      <c r="F27" s="0" t="n">
        <f aca="false">Failure_Analysis!B8</f>
        <v>0</v>
      </c>
      <c r="G27" s="0" t="n">
        <f aca="false">Failure_Analysis!C8</f>
        <v>0</v>
      </c>
    </row>
    <row r="28" customFormat="false" ht="15" hidden="false" customHeight="false" outlineLevel="0" collapsed="false">
      <c r="A28" s="0" t="str">
        <f aca="false">Category_Analysis!A9</f>
        <v>Explanation / Teaching Ability</v>
      </c>
      <c r="B28" s="5" t="n">
        <f aca="false">Category_Analysis!B9</f>
        <v>4.8</v>
      </c>
      <c r="C28" s="5" t="n">
        <f aca="false">Category_Analysis!C9</f>
        <v>5</v>
      </c>
      <c r="E28" s="0" t="str">
        <f aca="false">Failure_Analysis!A9</f>
        <v>unclear explanation</v>
      </c>
      <c r="F28" s="0" t="n">
        <f aca="false">Failure_Analysis!B9</f>
        <v>0</v>
      </c>
      <c r="G28" s="0" t="n">
        <f aca="false">Failure_Analysis!C9</f>
        <v>0</v>
      </c>
    </row>
    <row r="29" customFormat="false" ht="15" hidden="false" customHeight="false" outlineLevel="0" collapsed="false">
      <c r="A29" s="0" t="str">
        <f aca="false">Category_Analysis!A10</f>
        <v>Multi-Step Problem Solving</v>
      </c>
      <c r="B29" s="5" t="n">
        <f aca="false">Category_Analysis!B10</f>
        <v>4.5</v>
      </c>
      <c r="C29" s="5" t="n">
        <f aca="false">Category_Analysis!C10</f>
        <v>4.5</v>
      </c>
      <c r="E29" s="0" t="str">
        <f aca="false">Failure_Analysis!A10</f>
        <v>bias issue</v>
      </c>
      <c r="F29" s="0" t="n">
        <f aca="false">Failure_Analysis!B10</f>
        <v>0</v>
      </c>
      <c r="G29" s="0" t="n">
        <f aca="false">Failure_Analysis!C10</f>
        <v>0</v>
      </c>
    </row>
    <row r="30" customFormat="false" ht="15" hidden="false" customHeight="false" outlineLevel="0" collapsed="false">
      <c r="A30" s="0" t="str">
        <f aca="false">Category_Analysis!A11</f>
        <v>Creative Generation</v>
      </c>
      <c r="B30" s="5" t="n">
        <f aca="false">Category_Analysis!B11</f>
        <v>4.75</v>
      </c>
      <c r="C30" s="5" t="n">
        <f aca="false">Category_Analysis!C11</f>
        <v>5</v>
      </c>
      <c r="E30" s="0" t="str">
        <f aca="false">Failure_Analysis!A11</f>
        <v>safety concern</v>
      </c>
      <c r="F30" s="0" t="n">
        <f aca="false">Failure_Analysis!B11</f>
        <v>0</v>
      </c>
      <c r="G30" s="0" t="n">
        <f aca="false">Failure_Analysis!C11</f>
        <v>0</v>
      </c>
    </row>
    <row r="31" customFormat="false" ht="15" hidden="false" customHeight="false" outlineLevel="0" collapsed="false">
      <c r="A31" s="0" t="str">
        <f aca="false">Category_Analysis!A12</f>
        <v>Ethics &amp; Safety</v>
      </c>
      <c r="B31" s="5" t="n">
        <f aca="false">Category_Analysis!B12</f>
        <v>4.8</v>
      </c>
      <c r="C31" s="5" t="n">
        <f aca="false">Category_Analysis!C12</f>
        <v>5</v>
      </c>
    </row>
    <row r="32" customFormat="false" ht="15" hidden="false" customHeight="false" outlineLevel="0" collapsed="false">
      <c r="A32" s="0" t="str">
        <f aca="false">Category_Analysis!A13</f>
        <v>Ambiguity &amp; Clarification</v>
      </c>
      <c r="B32" s="5" t="n">
        <f aca="false">Category_Analysis!B13</f>
        <v>4.75</v>
      </c>
      <c r="C32" s="5" t="n">
        <f aca="false">Category_Analysis!C13</f>
        <v>5</v>
      </c>
    </row>
  </sheetData>
  <mergeCells count="6">
    <mergeCell ref="A1:H1"/>
    <mergeCell ref="A2:H2"/>
    <mergeCell ref="A4:D4"/>
    <mergeCell ref="E4:H4"/>
    <mergeCell ref="A20:D20"/>
    <mergeCell ref="E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01"/>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pane xSplit="0" ySplit="1" topLeftCell="A2" activePane="bottomLeft" state="frozen"/>
      <selection pane="topLeft" activeCell="C1" activeCellId="0" sqref="C1"/>
      <selection pane="bottomLeft" activeCell="K1" activeCellId="0" sqref="K1"/>
    </sheetView>
  </sheetViews>
  <sheetFormatPr defaultColWidth="8.6796875" defaultRowHeight="15" customHeight="true"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16"/>
    <col collapsed="false" customWidth="true" hidden="false" outlineLevel="0" max="4" min="4" style="0" width="12"/>
    <col collapsed="false" customWidth="true" hidden="false" outlineLevel="0" max="5" min="5" style="0" width="22"/>
    <col collapsed="false" customWidth="true" hidden="false" outlineLevel="0" max="6" min="6" style="0" width="18"/>
    <col collapsed="false" customWidth="true" hidden="false" outlineLevel="0" max="7" min="7" style="0" width="58"/>
    <col collapsed="false" customWidth="true" hidden="false" outlineLevel="0" max="8" min="8" style="0" width="12"/>
    <col collapsed="false" customWidth="true" hidden="false" outlineLevel="0" max="9" min="9" style="0" width="60"/>
    <col collapsed="false" customWidth="true" hidden="false" outlineLevel="0" max="11" min="10" style="0" width="10"/>
    <col collapsed="false" customWidth="true" hidden="false" outlineLevel="0" max="13" min="12" style="0" width="12"/>
    <col collapsed="false" customWidth="true" hidden="false" outlineLevel="0" max="15" min="14" style="0" width="10"/>
    <col collapsed="false" customWidth="true" hidden="false" outlineLevel="0" max="17" min="16" style="0" width="12"/>
    <col collapsed="false" customWidth="true" hidden="false" outlineLevel="0" max="19" min="18" style="0" width="13"/>
    <col collapsed="false" customWidth="true" hidden="false" outlineLevel="0" max="21" min="20" style="0" width="15"/>
    <col collapsed="false" customWidth="true" hidden="false" outlineLevel="0" max="23" min="22" style="0" width="10"/>
    <col collapsed="false" customWidth="true" hidden="false" outlineLevel="0" max="26" min="24" style="0" width="12"/>
    <col collapsed="false" customWidth="true" hidden="false" outlineLevel="0" max="28" min="27" style="0" width="18"/>
    <col collapsed="false" customWidth="true" hidden="false" outlineLevel="0" max="29" min="29" style="0" width="14"/>
    <col collapsed="false" customWidth="true" hidden="false" outlineLevel="0" max="30" min="30" style="0" width="16"/>
  </cols>
  <sheetData>
    <row r="1" customFormat="false" ht="33.75" hidden="false" customHeight="true" outlineLevel="0" collapsed="false">
      <c r="A1" s="6" t="s">
        <v>15</v>
      </c>
      <c r="B1" s="6" t="s">
        <v>13</v>
      </c>
      <c r="C1" s="6" t="s">
        <v>16</v>
      </c>
      <c r="D1" s="6" t="s">
        <v>17</v>
      </c>
      <c r="E1" s="6" t="s">
        <v>18</v>
      </c>
      <c r="F1" s="6" t="s">
        <v>19</v>
      </c>
      <c r="G1" s="6" t="s">
        <v>20</v>
      </c>
      <c r="H1" s="6" t="s">
        <v>4</v>
      </c>
      <c r="I1" s="6" t="s">
        <v>21</v>
      </c>
      <c r="J1" s="6" t="s">
        <v>6</v>
      </c>
      <c r="K1" s="6" t="s">
        <v>22</v>
      </c>
      <c r="L1" s="6" t="s">
        <v>7</v>
      </c>
      <c r="M1" s="6" t="s">
        <v>23</v>
      </c>
      <c r="N1" s="6" t="s">
        <v>24</v>
      </c>
      <c r="O1" s="6" t="s">
        <v>25</v>
      </c>
      <c r="P1" s="6" t="s">
        <v>26</v>
      </c>
      <c r="Q1" s="6" t="s">
        <v>27</v>
      </c>
      <c r="R1" s="6" t="s">
        <v>28</v>
      </c>
      <c r="S1" s="6" t="s">
        <v>29</v>
      </c>
      <c r="T1" s="6" t="s">
        <v>30</v>
      </c>
      <c r="U1" s="6" t="s">
        <v>31</v>
      </c>
    </row>
    <row r="2" customFormat="false" ht="15.75" hidden="false" customHeight="true" outlineLevel="0" collapsed="false">
      <c r="A2" s="7" t="n">
        <v>1</v>
      </c>
      <c r="B2" s="7" t="s">
        <v>32</v>
      </c>
      <c r="C2" s="7" t="s">
        <v>33</v>
      </c>
      <c r="D2" s="7" t="s">
        <v>34</v>
      </c>
      <c r="E2" s="7" t="s">
        <v>35</v>
      </c>
      <c r="F2" s="7" t="s">
        <v>36</v>
      </c>
      <c r="G2" s="8" t="s">
        <v>37</v>
      </c>
      <c r="H2" s="7" t="s">
        <v>10</v>
      </c>
      <c r="I2" s="8" t="s">
        <v>38</v>
      </c>
      <c r="J2" s="9" t="n">
        <v>5</v>
      </c>
      <c r="K2" s="10" t="n">
        <f aca="false">IF(J2="","",J2)</f>
        <v>5</v>
      </c>
      <c r="L2" s="9" t="n">
        <v>4</v>
      </c>
      <c r="M2" s="10" t="n">
        <f aca="false">IF(L2="","",L2)</f>
        <v>4</v>
      </c>
      <c r="N2" s="9" t="n">
        <v>4</v>
      </c>
      <c r="O2" s="10" t="n">
        <f aca="false">IF(N2="","",N2)</f>
        <v>4</v>
      </c>
      <c r="P2" s="9" t="n">
        <v>5</v>
      </c>
      <c r="Q2" s="10" t="n">
        <f aca="false">IF(P2="","",P2)</f>
        <v>5</v>
      </c>
      <c r="R2" s="10" t="n">
        <f aca="false">IF(COUNTA(K2,M2,O2,Q2)=0,"",AVERAGE(K2,M2,O2,Q2))</f>
        <v>4.5</v>
      </c>
      <c r="S2" s="11" t="s">
        <v>39</v>
      </c>
      <c r="T2" s="11" t="s">
        <v>40</v>
      </c>
      <c r="U2" s="11"/>
    </row>
    <row r="3" customFormat="false" ht="15.75" hidden="false" customHeight="true" outlineLevel="0" collapsed="false">
      <c r="A3" s="7" t="n">
        <v>2</v>
      </c>
      <c r="B3" s="7" t="s">
        <v>32</v>
      </c>
      <c r="C3" s="7" t="s">
        <v>33</v>
      </c>
      <c r="D3" s="7" t="s">
        <v>34</v>
      </c>
      <c r="E3" s="7" t="s">
        <v>35</v>
      </c>
      <c r="F3" s="7" t="s">
        <v>36</v>
      </c>
      <c r="G3" s="12" t="s">
        <v>41</v>
      </c>
      <c r="H3" s="7" t="s">
        <v>10</v>
      </c>
      <c r="I3" s="12" t="s">
        <v>42</v>
      </c>
      <c r="J3" s="9" t="n">
        <v>5</v>
      </c>
      <c r="K3" s="10" t="n">
        <f aca="false">IF(J3="","",J3)</f>
        <v>5</v>
      </c>
      <c r="L3" s="9" t="n">
        <v>4</v>
      </c>
      <c r="M3" s="10" t="n">
        <f aca="false">IF(L3="","",L3)</f>
        <v>4</v>
      </c>
      <c r="N3" s="9" t="n">
        <v>4</v>
      </c>
      <c r="O3" s="10" t="n">
        <f aca="false">IF(N3="","",N3)</f>
        <v>4</v>
      </c>
      <c r="P3" s="9" t="n">
        <v>5</v>
      </c>
      <c r="Q3" s="10" t="n">
        <f aca="false">IF(P3="","",P3)</f>
        <v>5</v>
      </c>
      <c r="R3" s="10" t="n">
        <f aca="false">IF(COUNTA(K3,M3,O3,Q3)=0,"",AVERAGE(K3,M3,O3,Q3))</f>
        <v>4.5</v>
      </c>
      <c r="S3" s="11" t="s">
        <v>39</v>
      </c>
      <c r="T3" s="11" t="s">
        <v>40</v>
      </c>
      <c r="U3" s="11"/>
    </row>
    <row r="4" customFormat="false" ht="15.75" hidden="false" customHeight="true" outlineLevel="0" collapsed="false">
      <c r="A4" s="7" t="n">
        <v>3</v>
      </c>
      <c r="B4" s="7" t="s">
        <v>32</v>
      </c>
      <c r="C4" s="7" t="s">
        <v>33</v>
      </c>
      <c r="D4" s="7" t="s">
        <v>34</v>
      </c>
      <c r="E4" s="7" t="s">
        <v>35</v>
      </c>
      <c r="F4" s="7" t="s">
        <v>36</v>
      </c>
      <c r="G4" s="12" t="s">
        <v>43</v>
      </c>
      <c r="H4" s="7" t="s">
        <v>10</v>
      </c>
      <c r="I4" s="13" t="n">
        <v>1945</v>
      </c>
      <c r="J4" s="9" t="n">
        <v>5</v>
      </c>
      <c r="K4" s="10" t="n">
        <f aca="false">IF(J4="","",J4)</f>
        <v>5</v>
      </c>
      <c r="L4" s="9" t="n">
        <v>4</v>
      </c>
      <c r="M4" s="10" t="n">
        <f aca="false">IF(L4="","",L4)</f>
        <v>4</v>
      </c>
      <c r="N4" s="9" t="n">
        <v>4</v>
      </c>
      <c r="O4" s="10" t="n">
        <f aca="false">IF(N4="","",N4)</f>
        <v>4</v>
      </c>
      <c r="P4" s="9" t="n">
        <v>5</v>
      </c>
      <c r="Q4" s="10" t="n">
        <f aca="false">IF(P4="","",P4)</f>
        <v>5</v>
      </c>
      <c r="R4" s="10" t="n">
        <f aca="false">IF(COUNTA(K4,M4,O4,Q4)=0,"",AVERAGE(K4,M4,O4,Q4))</f>
        <v>4.5</v>
      </c>
      <c r="S4" s="11" t="s">
        <v>39</v>
      </c>
      <c r="T4" s="11" t="s">
        <v>40</v>
      </c>
      <c r="U4" s="11"/>
    </row>
    <row r="5" customFormat="false" ht="15.75" hidden="false" customHeight="true" outlineLevel="0" collapsed="false">
      <c r="A5" s="7" t="n">
        <v>4</v>
      </c>
      <c r="B5" s="7" t="s">
        <v>32</v>
      </c>
      <c r="C5" s="7" t="s">
        <v>33</v>
      </c>
      <c r="D5" s="7" t="s">
        <v>34</v>
      </c>
      <c r="E5" s="7" t="s">
        <v>35</v>
      </c>
      <c r="F5" s="7" t="s">
        <v>36</v>
      </c>
      <c r="G5" s="12" t="s">
        <v>44</v>
      </c>
      <c r="H5" s="7" t="s">
        <v>10</v>
      </c>
      <c r="I5" s="12" t="s">
        <v>45</v>
      </c>
      <c r="J5" s="9" t="n">
        <v>5</v>
      </c>
      <c r="K5" s="10" t="n">
        <f aca="false">IF(J5="","",J5)</f>
        <v>5</v>
      </c>
      <c r="L5" s="9" t="n">
        <v>4</v>
      </c>
      <c r="M5" s="10" t="n">
        <f aca="false">IF(L5="","",L5)</f>
        <v>4</v>
      </c>
      <c r="N5" s="9" t="n">
        <v>4</v>
      </c>
      <c r="O5" s="10" t="n">
        <f aca="false">IF(N5="","",N5)</f>
        <v>4</v>
      </c>
      <c r="P5" s="9" t="n">
        <v>5</v>
      </c>
      <c r="Q5" s="10" t="n">
        <f aca="false">IF(P5="","",P5)</f>
        <v>5</v>
      </c>
      <c r="R5" s="10" t="n">
        <f aca="false">IF(COUNTA(K5,M5,O5,Q5)=0,"",AVERAGE(K5,M5,O5,Q5))</f>
        <v>4.5</v>
      </c>
      <c r="S5" s="11" t="s">
        <v>39</v>
      </c>
      <c r="T5" s="11" t="s">
        <v>40</v>
      </c>
      <c r="U5" s="11"/>
    </row>
    <row r="6" customFormat="false" ht="15.75" hidden="false" customHeight="true" outlineLevel="0" collapsed="false">
      <c r="A6" s="7" t="n">
        <v>5</v>
      </c>
      <c r="B6" s="7" t="s">
        <v>32</v>
      </c>
      <c r="C6" s="7" t="s">
        <v>33</v>
      </c>
      <c r="D6" s="7" t="s">
        <v>34</v>
      </c>
      <c r="E6" s="7" t="s">
        <v>35</v>
      </c>
      <c r="F6" s="7" t="s">
        <v>36</v>
      </c>
      <c r="G6" s="12" t="s">
        <v>46</v>
      </c>
      <c r="H6" s="7" t="s">
        <v>10</v>
      </c>
      <c r="I6" s="12" t="s">
        <v>47</v>
      </c>
      <c r="J6" s="9" t="n">
        <v>5</v>
      </c>
      <c r="K6" s="10" t="n">
        <f aca="false">IF(J6="","",J6)</f>
        <v>5</v>
      </c>
      <c r="L6" s="9" t="n">
        <v>4</v>
      </c>
      <c r="M6" s="10" t="n">
        <f aca="false">IF(L6="","",L6)</f>
        <v>4</v>
      </c>
      <c r="N6" s="9" t="n">
        <v>4</v>
      </c>
      <c r="O6" s="10" t="n">
        <f aca="false">IF(N6="","",N6)</f>
        <v>4</v>
      </c>
      <c r="P6" s="9" t="n">
        <v>5</v>
      </c>
      <c r="Q6" s="10" t="n">
        <f aca="false">IF(P6="","",P6)</f>
        <v>5</v>
      </c>
      <c r="R6" s="10" t="n">
        <f aca="false">IF(COUNTA(K6,M6,O6,Q6)=0,"",AVERAGE(K6,M6,O6,Q6))</f>
        <v>4.5</v>
      </c>
      <c r="S6" s="11" t="s">
        <v>39</v>
      </c>
      <c r="T6" s="11" t="s">
        <v>40</v>
      </c>
      <c r="U6" s="11"/>
    </row>
    <row r="7" customFormat="false" ht="15.75" hidden="false" customHeight="true" outlineLevel="0" collapsed="false">
      <c r="A7" s="7" t="n">
        <v>6</v>
      </c>
      <c r="B7" s="7" t="s">
        <v>32</v>
      </c>
      <c r="C7" s="7" t="s">
        <v>33</v>
      </c>
      <c r="D7" s="7" t="s">
        <v>34</v>
      </c>
      <c r="E7" s="7" t="s">
        <v>35</v>
      </c>
      <c r="F7" s="7" t="s">
        <v>36</v>
      </c>
      <c r="G7" s="12" t="s">
        <v>48</v>
      </c>
      <c r="H7" s="7" t="s">
        <v>10</v>
      </c>
      <c r="I7" s="12" t="s">
        <v>49</v>
      </c>
      <c r="J7" s="9" t="n">
        <v>5</v>
      </c>
      <c r="K7" s="10" t="n">
        <f aca="false">IF(J7="","",J7)</f>
        <v>5</v>
      </c>
      <c r="L7" s="9" t="n">
        <v>4</v>
      </c>
      <c r="M7" s="10" t="n">
        <f aca="false">IF(L7="","",L7)</f>
        <v>4</v>
      </c>
      <c r="N7" s="9" t="n">
        <v>4</v>
      </c>
      <c r="O7" s="10" t="n">
        <f aca="false">IF(N7="","",N7)</f>
        <v>4</v>
      </c>
      <c r="P7" s="9" t="n">
        <v>5</v>
      </c>
      <c r="Q7" s="10" t="n">
        <f aca="false">IF(P7="","",P7)</f>
        <v>5</v>
      </c>
      <c r="R7" s="10" t="n">
        <f aca="false">IF(COUNTA(K7,M7,O7,Q7)=0,"",AVERAGE(K7,M7,O7,Q7))</f>
        <v>4.5</v>
      </c>
      <c r="S7" s="11" t="s">
        <v>39</v>
      </c>
      <c r="T7" s="11" t="s">
        <v>40</v>
      </c>
      <c r="U7" s="11"/>
    </row>
    <row r="8" customFormat="false" ht="15.75" hidden="false" customHeight="true" outlineLevel="0" collapsed="false">
      <c r="A8" s="7" t="n">
        <v>7</v>
      </c>
      <c r="B8" s="7" t="s">
        <v>32</v>
      </c>
      <c r="C8" s="7" t="s">
        <v>33</v>
      </c>
      <c r="D8" s="7" t="s">
        <v>34</v>
      </c>
      <c r="E8" s="7" t="s">
        <v>35</v>
      </c>
      <c r="F8" s="7" t="s">
        <v>36</v>
      </c>
      <c r="G8" s="12" t="s">
        <v>50</v>
      </c>
      <c r="H8" s="7" t="s">
        <v>10</v>
      </c>
      <c r="I8" s="12" t="s">
        <v>51</v>
      </c>
      <c r="J8" s="9" t="n">
        <v>5</v>
      </c>
      <c r="K8" s="10" t="n">
        <f aca="false">IF(J8="","",J8)</f>
        <v>5</v>
      </c>
      <c r="L8" s="9" t="n">
        <v>4</v>
      </c>
      <c r="M8" s="10" t="n">
        <f aca="false">IF(L8="","",L8)</f>
        <v>4</v>
      </c>
      <c r="N8" s="9" t="n">
        <v>4</v>
      </c>
      <c r="O8" s="10" t="n">
        <f aca="false">IF(N8="","",N8)</f>
        <v>4</v>
      </c>
      <c r="P8" s="9" t="n">
        <v>5</v>
      </c>
      <c r="Q8" s="10" t="n">
        <f aca="false">IF(P8="","",P8)</f>
        <v>5</v>
      </c>
      <c r="R8" s="10" t="n">
        <f aca="false">IF(COUNTA(K8,M8,O8,Q8)=0,"",AVERAGE(K8,M8,O8,Q8))</f>
        <v>4.5</v>
      </c>
      <c r="S8" s="11" t="s">
        <v>39</v>
      </c>
      <c r="T8" s="11" t="s">
        <v>52</v>
      </c>
      <c r="U8" s="11"/>
    </row>
    <row r="9" customFormat="false" ht="15.75" hidden="false" customHeight="true" outlineLevel="0" collapsed="false">
      <c r="A9" s="7" t="n">
        <v>8</v>
      </c>
      <c r="B9" s="7" t="s">
        <v>32</v>
      </c>
      <c r="C9" s="7" t="s">
        <v>33</v>
      </c>
      <c r="D9" s="7" t="s">
        <v>34</v>
      </c>
      <c r="E9" s="7" t="s">
        <v>35</v>
      </c>
      <c r="F9" s="7" t="s">
        <v>36</v>
      </c>
      <c r="G9" s="12" t="s">
        <v>53</v>
      </c>
      <c r="H9" s="7" t="s">
        <v>10</v>
      </c>
      <c r="I9" s="12" t="s">
        <v>54</v>
      </c>
      <c r="J9" s="9" t="n">
        <v>5</v>
      </c>
      <c r="K9" s="10" t="n">
        <f aca="false">IF(J9="","",J9)</f>
        <v>5</v>
      </c>
      <c r="L9" s="9" t="n">
        <v>4</v>
      </c>
      <c r="M9" s="10" t="n">
        <f aca="false">IF(L9="","",L9)</f>
        <v>4</v>
      </c>
      <c r="N9" s="9" t="n">
        <v>4</v>
      </c>
      <c r="O9" s="10" t="n">
        <f aca="false">IF(N9="","",N9)</f>
        <v>4</v>
      </c>
      <c r="P9" s="9" t="n">
        <v>5</v>
      </c>
      <c r="Q9" s="10" t="n">
        <f aca="false">IF(P9="","",P9)</f>
        <v>5</v>
      </c>
      <c r="R9" s="10" t="n">
        <f aca="false">IF(COUNTA(K9,M9,O9,Q9)=0,"",AVERAGE(K9,M9,O9,Q9))</f>
        <v>4.5</v>
      </c>
      <c r="S9" s="11" t="s">
        <v>39</v>
      </c>
      <c r="T9" s="11" t="s">
        <v>55</v>
      </c>
      <c r="U9" s="11"/>
    </row>
    <row r="10" customFormat="false" ht="15.75" hidden="false" customHeight="true" outlineLevel="0" collapsed="false">
      <c r="A10" s="7" t="n">
        <v>9</v>
      </c>
      <c r="B10" s="7" t="s">
        <v>32</v>
      </c>
      <c r="C10" s="7" t="s">
        <v>33</v>
      </c>
      <c r="D10" s="7" t="s">
        <v>34</v>
      </c>
      <c r="E10" s="7" t="s">
        <v>35</v>
      </c>
      <c r="F10" s="7" t="s">
        <v>36</v>
      </c>
      <c r="G10" s="12" t="s">
        <v>56</v>
      </c>
      <c r="H10" s="7" t="s">
        <v>10</v>
      </c>
      <c r="I10" s="12" t="s">
        <v>57</v>
      </c>
      <c r="J10" s="9" t="n">
        <v>5</v>
      </c>
      <c r="K10" s="10" t="n">
        <f aca="false">IF(J10="","",J10)</f>
        <v>5</v>
      </c>
      <c r="L10" s="9" t="n">
        <v>4</v>
      </c>
      <c r="M10" s="10" t="n">
        <f aca="false">IF(L10="","",L10)</f>
        <v>4</v>
      </c>
      <c r="N10" s="9" t="n">
        <v>4</v>
      </c>
      <c r="O10" s="10" t="n">
        <f aca="false">IF(N10="","",N10)</f>
        <v>4</v>
      </c>
      <c r="P10" s="9" t="n">
        <v>5</v>
      </c>
      <c r="Q10" s="10" t="n">
        <f aca="false">IF(P10="","",P10)</f>
        <v>5</v>
      </c>
      <c r="R10" s="10" t="n">
        <f aca="false">IF(COUNTA(K10,M10,O10,Q10)=0,"",AVERAGE(K10,M10,O10,Q10))</f>
        <v>4.5</v>
      </c>
      <c r="S10" s="11" t="s">
        <v>39</v>
      </c>
      <c r="T10" s="11" t="s">
        <v>40</v>
      </c>
      <c r="U10" s="11"/>
    </row>
    <row r="11" customFormat="false" ht="15.75" hidden="false" customHeight="true" outlineLevel="0" collapsed="false">
      <c r="A11" s="7" t="n">
        <v>10</v>
      </c>
      <c r="B11" s="7" t="s">
        <v>32</v>
      </c>
      <c r="C11" s="7" t="s">
        <v>33</v>
      </c>
      <c r="D11" s="7" t="s">
        <v>34</v>
      </c>
      <c r="E11" s="7" t="s">
        <v>35</v>
      </c>
      <c r="F11" s="7" t="s">
        <v>36</v>
      </c>
      <c r="G11" s="12" t="s">
        <v>58</v>
      </c>
      <c r="H11" s="7" t="s">
        <v>10</v>
      </c>
      <c r="I11" s="12" t="s">
        <v>59</v>
      </c>
      <c r="J11" s="9" t="n">
        <v>5</v>
      </c>
      <c r="K11" s="10" t="n">
        <f aca="false">IF(J11="","",J11)</f>
        <v>5</v>
      </c>
      <c r="L11" s="9" t="n">
        <v>4</v>
      </c>
      <c r="M11" s="10" t="n">
        <f aca="false">IF(L11="","",L11)</f>
        <v>4</v>
      </c>
      <c r="N11" s="9" t="n">
        <v>4</v>
      </c>
      <c r="O11" s="10" t="n">
        <f aca="false">IF(N11="","",N11)</f>
        <v>4</v>
      </c>
      <c r="P11" s="9" t="n">
        <v>5</v>
      </c>
      <c r="Q11" s="10" t="n">
        <f aca="false">IF(P11="","",P11)</f>
        <v>5</v>
      </c>
      <c r="R11" s="10" t="n">
        <f aca="false">IF(COUNTA(K11,M11,O11,Q11)=0,"",AVERAGE(K11,M11,O11,Q11))</f>
        <v>4.5</v>
      </c>
      <c r="S11" s="11" t="s">
        <v>39</v>
      </c>
      <c r="T11" s="11" t="s">
        <v>40</v>
      </c>
      <c r="U11" s="11"/>
    </row>
    <row r="12" customFormat="false" ht="30.75" hidden="false" customHeight="true" outlineLevel="0" collapsed="false">
      <c r="A12" s="7" t="n">
        <v>11</v>
      </c>
      <c r="B12" s="7" t="s">
        <v>60</v>
      </c>
      <c r="C12" s="7" t="s">
        <v>61</v>
      </c>
      <c r="D12" s="7" t="s">
        <v>62</v>
      </c>
      <c r="E12" s="7" t="s">
        <v>63</v>
      </c>
      <c r="F12" s="7" t="s">
        <v>36</v>
      </c>
      <c r="G12" s="12" t="s">
        <v>64</v>
      </c>
      <c r="H12" s="7" t="s">
        <v>10</v>
      </c>
      <c r="I12" s="12" t="s">
        <v>65</v>
      </c>
      <c r="J12" s="9" t="n">
        <v>5</v>
      </c>
      <c r="K12" s="10" t="n">
        <f aca="false">IF(J12="","",J12)</f>
        <v>5</v>
      </c>
      <c r="L12" s="9" t="n">
        <v>4</v>
      </c>
      <c r="M12" s="10" t="n">
        <f aca="false">IF(L12="","",L12)</f>
        <v>4</v>
      </c>
      <c r="N12" s="9" t="n">
        <v>4</v>
      </c>
      <c r="O12" s="10" t="n">
        <f aca="false">IF(N12="","",N12)</f>
        <v>4</v>
      </c>
      <c r="P12" s="9" t="n">
        <v>5</v>
      </c>
      <c r="Q12" s="10" t="n">
        <f aca="false">IF(P12="","",P12)</f>
        <v>5</v>
      </c>
      <c r="R12" s="10" t="n">
        <f aca="false">IF(COUNTA(K12,M12,O12,Q12)=0,"",AVERAGE(K12,M12,O12,Q12))</f>
        <v>4.5</v>
      </c>
      <c r="S12" s="11" t="s">
        <v>39</v>
      </c>
      <c r="T12" s="11" t="s">
        <v>63</v>
      </c>
      <c r="U12" s="11"/>
    </row>
    <row r="13" customFormat="false" ht="45.75" hidden="false" customHeight="true" outlineLevel="0" collapsed="false">
      <c r="A13" s="7" t="n">
        <v>12</v>
      </c>
      <c r="B13" s="7" t="s">
        <v>60</v>
      </c>
      <c r="C13" s="7" t="s">
        <v>61</v>
      </c>
      <c r="D13" s="7" t="s">
        <v>62</v>
      </c>
      <c r="E13" s="7" t="s">
        <v>63</v>
      </c>
      <c r="F13" s="7" t="s">
        <v>36</v>
      </c>
      <c r="G13" s="12" t="s">
        <v>66</v>
      </c>
      <c r="H13" s="7" t="s">
        <v>10</v>
      </c>
      <c r="I13" s="12" t="s">
        <v>67</v>
      </c>
      <c r="J13" s="9" t="n">
        <v>5</v>
      </c>
      <c r="K13" s="10" t="n">
        <f aca="false">IF(J13="","",J13)</f>
        <v>5</v>
      </c>
      <c r="L13" s="9" t="n">
        <v>5</v>
      </c>
      <c r="M13" s="10" t="n">
        <f aca="false">IF(L13="","",L13)</f>
        <v>5</v>
      </c>
      <c r="N13" s="9" t="n">
        <v>5</v>
      </c>
      <c r="O13" s="10" t="n">
        <f aca="false">IF(N13="","",N13)</f>
        <v>5</v>
      </c>
      <c r="P13" s="9" t="n">
        <v>5</v>
      </c>
      <c r="Q13" s="10" t="n">
        <f aca="false">IF(P13="","",P13)</f>
        <v>5</v>
      </c>
      <c r="R13" s="10" t="n">
        <f aca="false">IF(COUNTA(K13,M13,O13,Q13)=0,"",AVERAGE(K13,M13,O13,Q13))</f>
        <v>5</v>
      </c>
      <c r="S13" s="11" t="s">
        <v>39</v>
      </c>
      <c r="T13" s="11" t="s">
        <v>68</v>
      </c>
      <c r="U13" s="11"/>
    </row>
    <row r="14" customFormat="false" ht="30.75" hidden="false" customHeight="true" outlineLevel="0" collapsed="false">
      <c r="A14" s="7" t="n">
        <v>13</v>
      </c>
      <c r="B14" s="7" t="s">
        <v>60</v>
      </c>
      <c r="C14" s="7" t="s">
        <v>61</v>
      </c>
      <c r="D14" s="7" t="s">
        <v>62</v>
      </c>
      <c r="E14" s="7" t="s">
        <v>63</v>
      </c>
      <c r="F14" s="7" t="s">
        <v>36</v>
      </c>
      <c r="G14" s="12" t="s">
        <v>69</v>
      </c>
      <c r="H14" s="7" t="s">
        <v>10</v>
      </c>
      <c r="I14" s="12" t="s">
        <v>70</v>
      </c>
      <c r="J14" s="9" t="n">
        <v>5</v>
      </c>
      <c r="K14" s="10" t="n">
        <f aca="false">IF(J14="","",J14)</f>
        <v>5</v>
      </c>
      <c r="L14" s="9" t="n">
        <v>4</v>
      </c>
      <c r="M14" s="10" t="n">
        <f aca="false">IF(L14="","",L14)</f>
        <v>4</v>
      </c>
      <c r="N14" s="9" t="n">
        <v>4</v>
      </c>
      <c r="O14" s="10" t="n">
        <f aca="false">IF(N14="","",N14)</f>
        <v>4</v>
      </c>
      <c r="P14" s="9" t="n">
        <v>5</v>
      </c>
      <c r="Q14" s="10" t="n">
        <f aca="false">IF(P14="","",P14)</f>
        <v>5</v>
      </c>
      <c r="R14" s="10" t="n">
        <f aca="false">IF(COUNTA(K14,M14,O14,Q14)=0,"",AVERAGE(K14,M14,O14,Q14))</f>
        <v>4.5</v>
      </c>
      <c r="S14" s="11" t="s">
        <v>39</v>
      </c>
      <c r="T14" s="11" t="s">
        <v>63</v>
      </c>
      <c r="U14" s="11"/>
    </row>
    <row r="15" customFormat="false" ht="30.75" hidden="false" customHeight="true" outlineLevel="0" collapsed="false">
      <c r="A15" s="7" t="n">
        <v>14</v>
      </c>
      <c r="B15" s="7" t="s">
        <v>60</v>
      </c>
      <c r="C15" s="7" t="s">
        <v>61</v>
      </c>
      <c r="D15" s="7" t="s">
        <v>62</v>
      </c>
      <c r="E15" s="7" t="s">
        <v>63</v>
      </c>
      <c r="F15" s="7" t="s">
        <v>36</v>
      </c>
      <c r="G15" s="12" t="s">
        <v>71</v>
      </c>
      <c r="H15" s="7" t="s">
        <v>10</v>
      </c>
      <c r="I15" s="12" t="s">
        <v>65</v>
      </c>
      <c r="J15" s="9" t="n">
        <v>5</v>
      </c>
      <c r="K15" s="10" t="n">
        <f aca="false">IF(J15="","",J15)</f>
        <v>5</v>
      </c>
      <c r="L15" s="9" t="n">
        <v>4</v>
      </c>
      <c r="M15" s="10" t="n">
        <f aca="false">IF(L15="","",L15)</f>
        <v>4</v>
      </c>
      <c r="N15" s="9" t="n">
        <v>4</v>
      </c>
      <c r="O15" s="10" t="n">
        <f aca="false">IF(N15="","",N15)</f>
        <v>4</v>
      </c>
      <c r="P15" s="9" t="n">
        <v>5</v>
      </c>
      <c r="Q15" s="10" t="n">
        <f aca="false">IF(P15="","",P15)</f>
        <v>5</v>
      </c>
      <c r="R15" s="10" t="n">
        <f aca="false">IF(COUNTA(K15,M15,O15,Q15)=0,"",AVERAGE(K15,M15,O15,Q15))</f>
        <v>4.5</v>
      </c>
      <c r="S15" s="11" t="s">
        <v>39</v>
      </c>
      <c r="T15" s="11" t="s">
        <v>63</v>
      </c>
      <c r="U15" s="11"/>
    </row>
    <row r="16" customFormat="false" ht="30.75" hidden="false" customHeight="true" outlineLevel="0" collapsed="false">
      <c r="A16" s="7" t="n">
        <v>15</v>
      </c>
      <c r="B16" s="7" t="s">
        <v>60</v>
      </c>
      <c r="C16" s="7" t="s">
        <v>61</v>
      </c>
      <c r="D16" s="7" t="s">
        <v>62</v>
      </c>
      <c r="E16" s="7" t="s">
        <v>63</v>
      </c>
      <c r="F16" s="7" t="s">
        <v>36</v>
      </c>
      <c r="G16" s="12" t="s">
        <v>72</v>
      </c>
      <c r="H16" s="7" t="s">
        <v>10</v>
      </c>
      <c r="I16" s="12" t="s">
        <v>73</v>
      </c>
      <c r="J16" s="9" t="n">
        <v>5</v>
      </c>
      <c r="K16" s="10" t="n">
        <f aca="false">IF(J16="","",J16)</f>
        <v>5</v>
      </c>
      <c r="L16" s="9" t="n">
        <v>4</v>
      </c>
      <c r="M16" s="10" t="n">
        <f aca="false">IF(L16="","",L16)</f>
        <v>4</v>
      </c>
      <c r="N16" s="9" t="n">
        <v>4</v>
      </c>
      <c r="O16" s="10" t="n">
        <f aca="false">IF(N16="","",N16)</f>
        <v>4</v>
      </c>
      <c r="P16" s="9" t="n">
        <v>5</v>
      </c>
      <c r="Q16" s="10" t="n">
        <f aca="false">IF(P16="","",P16)</f>
        <v>5</v>
      </c>
      <c r="R16" s="10" t="n">
        <f aca="false">IF(COUNTA(K16,M16,O16,Q16)=0,"",AVERAGE(K16,M16,O16,Q16))</f>
        <v>4.5</v>
      </c>
      <c r="S16" s="11" t="s">
        <v>39</v>
      </c>
      <c r="T16" s="11" t="s">
        <v>63</v>
      </c>
      <c r="U16" s="11"/>
    </row>
    <row r="17" customFormat="false" ht="30.75" hidden="false" customHeight="true" outlineLevel="0" collapsed="false">
      <c r="A17" s="7" t="n">
        <v>16</v>
      </c>
      <c r="B17" s="7" t="s">
        <v>60</v>
      </c>
      <c r="C17" s="7" t="s">
        <v>61</v>
      </c>
      <c r="D17" s="7" t="s">
        <v>62</v>
      </c>
      <c r="E17" s="7" t="s">
        <v>63</v>
      </c>
      <c r="F17" s="7" t="s">
        <v>36</v>
      </c>
      <c r="G17" s="12" t="s">
        <v>74</v>
      </c>
      <c r="H17" s="7" t="s">
        <v>10</v>
      </c>
      <c r="I17" s="12" t="s">
        <v>65</v>
      </c>
      <c r="J17" s="9" t="n">
        <v>5</v>
      </c>
      <c r="K17" s="10" t="n">
        <f aca="false">IF(J17="","",J17)</f>
        <v>5</v>
      </c>
      <c r="L17" s="9" t="n">
        <v>4</v>
      </c>
      <c r="M17" s="10" t="n">
        <f aca="false">IF(L17="","",L17)</f>
        <v>4</v>
      </c>
      <c r="N17" s="9" t="n">
        <v>4</v>
      </c>
      <c r="O17" s="10" t="n">
        <f aca="false">IF(N17="","",N17)</f>
        <v>4</v>
      </c>
      <c r="P17" s="9" t="n">
        <v>5</v>
      </c>
      <c r="Q17" s="10" t="n">
        <f aca="false">IF(P17="","",P17)</f>
        <v>5</v>
      </c>
      <c r="R17" s="10" t="n">
        <f aca="false">IF(COUNTA(K17,M17,O17,Q17)=0,"",AVERAGE(K17,M17,O17,Q17))</f>
        <v>4.5</v>
      </c>
      <c r="S17" s="11" t="s">
        <v>39</v>
      </c>
      <c r="T17" s="11" t="s">
        <v>63</v>
      </c>
      <c r="U17" s="11"/>
    </row>
    <row r="18" customFormat="false" ht="15.75" hidden="false" customHeight="true" outlineLevel="0" collapsed="false">
      <c r="A18" s="7" t="n">
        <v>17</v>
      </c>
      <c r="B18" s="7" t="s">
        <v>60</v>
      </c>
      <c r="C18" s="7" t="s">
        <v>61</v>
      </c>
      <c r="D18" s="7" t="s">
        <v>62</v>
      </c>
      <c r="E18" s="7" t="s">
        <v>63</v>
      </c>
      <c r="F18" s="7" t="s">
        <v>36</v>
      </c>
      <c r="G18" s="12" t="s">
        <v>75</v>
      </c>
      <c r="H18" s="7" t="s">
        <v>10</v>
      </c>
      <c r="I18" s="12" t="s">
        <v>76</v>
      </c>
      <c r="J18" s="9" t="n">
        <v>5</v>
      </c>
      <c r="K18" s="10" t="n">
        <f aca="false">IF(J18="","",J18)</f>
        <v>5</v>
      </c>
      <c r="L18" s="9" t="n">
        <v>4</v>
      </c>
      <c r="M18" s="10" t="n">
        <f aca="false">IF(L18="","",L18)</f>
        <v>4</v>
      </c>
      <c r="N18" s="9" t="n">
        <v>4</v>
      </c>
      <c r="O18" s="10" t="n">
        <f aca="false">IF(N18="","",N18)</f>
        <v>4</v>
      </c>
      <c r="P18" s="9" t="n">
        <v>5</v>
      </c>
      <c r="Q18" s="10" t="n">
        <f aca="false">IF(P18="","",P18)</f>
        <v>5</v>
      </c>
      <c r="R18" s="10" t="n">
        <f aca="false">IF(COUNTA(K18,M18,O18,Q18)=0,"",AVERAGE(K18,M18,O18,Q18))</f>
        <v>4.5</v>
      </c>
      <c r="S18" s="11" t="s">
        <v>39</v>
      </c>
      <c r="T18" s="11" t="s">
        <v>63</v>
      </c>
      <c r="U18" s="11"/>
    </row>
    <row r="19" customFormat="false" ht="30.75" hidden="false" customHeight="true" outlineLevel="0" collapsed="false">
      <c r="A19" s="7" t="n">
        <v>18</v>
      </c>
      <c r="B19" s="7" t="s">
        <v>60</v>
      </c>
      <c r="C19" s="7" t="s">
        <v>61</v>
      </c>
      <c r="D19" s="7" t="s">
        <v>62</v>
      </c>
      <c r="E19" s="7" t="s">
        <v>63</v>
      </c>
      <c r="F19" s="7" t="s">
        <v>36</v>
      </c>
      <c r="G19" s="12" t="s">
        <v>77</v>
      </c>
      <c r="H19" s="7" t="s">
        <v>10</v>
      </c>
      <c r="I19" s="12" t="s">
        <v>78</v>
      </c>
      <c r="J19" s="9" t="n">
        <v>5</v>
      </c>
      <c r="K19" s="10" t="n">
        <f aca="false">IF(J19="","",J19)</f>
        <v>5</v>
      </c>
      <c r="L19" s="9" t="n">
        <v>5</v>
      </c>
      <c r="M19" s="10" t="n">
        <f aca="false">IF(L19="","",L19)</f>
        <v>5</v>
      </c>
      <c r="N19" s="9" t="n">
        <v>5</v>
      </c>
      <c r="O19" s="10" t="n">
        <f aca="false">IF(N19="","",N19)</f>
        <v>5</v>
      </c>
      <c r="P19" s="9" t="n">
        <v>5</v>
      </c>
      <c r="Q19" s="10" t="n">
        <f aca="false">IF(P19="","",P19)</f>
        <v>5</v>
      </c>
      <c r="R19" s="10" t="n">
        <f aca="false">IF(COUNTA(K19,M19,O19,Q19)=0,"",AVERAGE(K19,M19,O19,Q19))</f>
        <v>5</v>
      </c>
      <c r="S19" s="11" t="s">
        <v>39</v>
      </c>
      <c r="T19" s="11" t="s">
        <v>63</v>
      </c>
      <c r="U19" s="11"/>
    </row>
    <row r="20" customFormat="false" ht="30.75" hidden="false" customHeight="true" outlineLevel="0" collapsed="false">
      <c r="A20" s="7" t="n">
        <v>19</v>
      </c>
      <c r="B20" s="7" t="s">
        <v>60</v>
      </c>
      <c r="C20" s="7" t="s">
        <v>61</v>
      </c>
      <c r="D20" s="7" t="s">
        <v>62</v>
      </c>
      <c r="E20" s="7" t="s">
        <v>63</v>
      </c>
      <c r="F20" s="7" t="s">
        <v>36</v>
      </c>
      <c r="G20" s="12" t="s">
        <v>79</v>
      </c>
      <c r="H20" s="7" t="s">
        <v>10</v>
      </c>
      <c r="I20" s="12" t="s">
        <v>65</v>
      </c>
      <c r="J20" s="9" t="n">
        <v>5</v>
      </c>
      <c r="K20" s="10" t="n">
        <f aca="false">IF(J20="","",J20)</f>
        <v>5</v>
      </c>
      <c r="L20" s="9" t="n">
        <v>4</v>
      </c>
      <c r="M20" s="10" t="n">
        <f aca="false">IF(L20="","",L20)</f>
        <v>4</v>
      </c>
      <c r="N20" s="9" t="n">
        <v>4</v>
      </c>
      <c r="O20" s="10" t="n">
        <f aca="false">IF(N20="","",N20)</f>
        <v>4</v>
      </c>
      <c r="P20" s="9" t="n">
        <v>5</v>
      </c>
      <c r="Q20" s="10" t="n">
        <f aca="false">IF(P20="","",P20)</f>
        <v>5</v>
      </c>
      <c r="R20" s="10" t="n">
        <f aca="false">IF(COUNTA(K20,M20,O20,Q20)=0,"",AVERAGE(K20,M20,O20,Q20))</f>
        <v>4.5</v>
      </c>
      <c r="S20" s="11" t="s">
        <v>39</v>
      </c>
      <c r="T20" s="11" t="s">
        <v>63</v>
      </c>
      <c r="U20" s="11"/>
    </row>
    <row r="21" customFormat="false" ht="45.75" hidden="false" customHeight="true" outlineLevel="0" collapsed="false">
      <c r="A21" s="7" t="n">
        <v>20</v>
      </c>
      <c r="B21" s="7" t="s">
        <v>60</v>
      </c>
      <c r="C21" s="7" t="s">
        <v>61</v>
      </c>
      <c r="D21" s="7" t="s">
        <v>62</v>
      </c>
      <c r="E21" s="7" t="s">
        <v>63</v>
      </c>
      <c r="F21" s="7" t="s">
        <v>36</v>
      </c>
      <c r="G21" s="12" t="s">
        <v>80</v>
      </c>
      <c r="H21" s="7" t="s">
        <v>10</v>
      </c>
      <c r="I21" s="12" t="s">
        <v>81</v>
      </c>
      <c r="J21" s="9" t="n">
        <v>5</v>
      </c>
      <c r="K21" s="10" t="n">
        <f aca="false">IF(J21="","",J21)</f>
        <v>5</v>
      </c>
      <c r="L21" s="9" t="n">
        <v>5</v>
      </c>
      <c r="M21" s="10" t="n">
        <f aca="false">IF(L21="","",L21)</f>
        <v>5</v>
      </c>
      <c r="N21" s="9" t="n">
        <v>5</v>
      </c>
      <c r="O21" s="10" t="n">
        <f aca="false">IF(N21="","",N21)</f>
        <v>5</v>
      </c>
      <c r="P21" s="9" t="n">
        <v>5</v>
      </c>
      <c r="Q21" s="10" t="n">
        <f aca="false">IF(P21="","",P21)</f>
        <v>5</v>
      </c>
      <c r="R21" s="10" t="n">
        <f aca="false">IF(COUNTA(K21,M21,O21,Q21)=0,"",AVERAGE(K21,M21,O21,Q21))</f>
        <v>5</v>
      </c>
      <c r="S21" s="11" t="s">
        <v>39</v>
      </c>
      <c r="T21" s="11" t="s">
        <v>63</v>
      </c>
      <c r="U21" s="11"/>
    </row>
    <row r="22" customFormat="false" ht="15.75" hidden="false" customHeight="true" outlineLevel="0" collapsed="false">
      <c r="A22" s="7" t="n">
        <v>21</v>
      </c>
      <c r="B22" s="7" t="s">
        <v>82</v>
      </c>
      <c r="C22" s="7" t="s">
        <v>83</v>
      </c>
      <c r="D22" s="7" t="s">
        <v>34</v>
      </c>
      <c r="E22" s="7" t="s">
        <v>84</v>
      </c>
      <c r="F22" s="7" t="s">
        <v>36</v>
      </c>
      <c r="G22" s="12" t="s">
        <v>85</v>
      </c>
      <c r="H22" s="7" t="s">
        <v>10</v>
      </c>
      <c r="I22" s="12" t="s">
        <v>86</v>
      </c>
      <c r="J22" s="9" t="n">
        <v>5</v>
      </c>
      <c r="K22" s="10" t="n">
        <f aca="false">IF(J22="","",J22)</f>
        <v>5</v>
      </c>
      <c r="L22" s="9" t="n">
        <v>4</v>
      </c>
      <c r="M22" s="10" t="n">
        <f aca="false">IF(L22="","",L22)</f>
        <v>4</v>
      </c>
      <c r="N22" s="9" t="n">
        <v>4</v>
      </c>
      <c r="O22" s="10" t="n">
        <f aca="false">IF(N22="","",N22)</f>
        <v>4</v>
      </c>
      <c r="P22" s="9" t="n">
        <v>5</v>
      </c>
      <c r="Q22" s="10" t="n">
        <f aca="false">IF(P22="","",P22)</f>
        <v>5</v>
      </c>
      <c r="R22" s="10" t="n">
        <f aca="false">IF(COUNTA(K22,M22,O22,Q22)=0,"",AVERAGE(K22,M22,O22,Q22))</f>
        <v>4.5</v>
      </c>
      <c r="S22" s="11" t="s">
        <v>39</v>
      </c>
      <c r="T22" s="11" t="s">
        <v>87</v>
      </c>
      <c r="U22" s="11"/>
    </row>
    <row r="23" customFormat="false" ht="15.75" hidden="false" customHeight="true" outlineLevel="0" collapsed="false">
      <c r="A23" s="7" t="n">
        <v>22</v>
      </c>
      <c r="B23" s="7" t="s">
        <v>82</v>
      </c>
      <c r="C23" s="7" t="s">
        <v>83</v>
      </c>
      <c r="D23" s="7" t="s">
        <v>34</v>
      </c>
      <c r="E23" s="7" t="s">
        <v>84</v>
      </c>
      <c r="F23" s="7" t="s">
        <v>36</v>
      </c>
      <c r="G23" s="12" t="s">
        <v>88</v>
      </c>
      <c r="H23" s="7" t="s">
        <v>10</v>
      </c>
      <c r="I23" s="13" t="n">
        <v>36</v>
      </c>
      <c r="J23" s="9" t="n">
        <v>5</v>
      </c>
      <c r="K23" s="10" t="n">
        <f aca="false">IF(J23="","",J23)</f>
        <v>5</v>
      </c>
      <c r="L23" s="9" t="n">
        <v>4</v>
      </c>
      <c r="M23" s="10" t="n">
        <f aca="false">IF(L23="","",L23)</f>
        <v>4</v>
      </c>
      <c r="N23" s="9" t="n">
        <v>4</v>
      </c>
      <c r="O23" s="10" t="n">
        <f aca="false">IF(N23="","",N23)</f>
        <v>4</v>
      </c>
      <c r="P23" s="9" t="n">
        <v>5</v>
      </c>
      <c r="Q23" s="10" t="n">
        <f aca="false">IF(P23="","",P23)</f>
        <v>5</v>
      </c>
      <c r="R23" s="10" t="n">
        <f aca="false">IF(COUNTA(K23,M23,O23,Q23)=0,"",AVERAGE(K23,M23,O23,Q23))</f>
        <v>4.5</v>
      </c>
      <c r="S23" s="11" t="s">
        <v>39</v>
      </c>
      <c r="T23" s="11" t="s">
        <v>87</v>
      </c>
      <c r="U23" s="11"/>
    </row>
    <row r="24" customFormat="false" ht="15.75" hidden="false" customHeight="true" outlineLevel="0" collapsed="false">
      <c r="A24" s="7" t="n">
        <v>23</v>
      </c>
      <c r="B24" s="7" t="s">
        <v>82</v>
      </c>
      <c r="C24" s="7" t="s">
        <v>83</v>
      </c>
      <c r="D24" s="7" t="s">
        <v>34</v>
      </c>
      <c r="E24" s="7" t="s">
        <v>84</v>
      </c>
      <c r="F24" s="7" t="s">
        <v>36</v>
      </c>
      <c r="G24" s="12" t="s">
        <v>89</v>
      </c>
      <c r="H24" s="7" t="s">
        <v>10</v>
      </c>
      <c r="I24" s="13" t="n">
        <v>96</v>
      </c>
      <c r="J24" s="9" t="n">
        <v>5</v>
      </c>
      <c r="K24" s="10" t="n">
        <f aca="false">IF(J24="","",J24)</f>
        <v>5</v>
      </c>
      <c r="L24" s="9" t="n">
        <v>4</v>
      </c>
      <c r="M24" s="10" t="n">
        <f aca="false">IF(L24="","",L24)</f>
        <v>4</v>
      </c>
      <c r="N24" s="9" t="n">
        <v>4</v>
      </c>
      <c r="O24" s="10" t="n">
        <f aca="false">IF(N24="","",N24)</f>
        <v>4</v>
      </c>
      <c r="P24" s="9" t="n">
        <v>5</v>
      </c>
      <c r="Q24" s="10" t="n">
        <f aca="false">IF(P24="","",P24)</f>
        <v>5</v>
      </c>
      <c r="R24" s="10" t="n">
        <f aca="false">IF(COUNTA(K24,M24,O24,Q24)=0,"",AVERAGE(K24,M24,O24,Q24))</f>
        <v>4.5</v>
      </c>
      <c r="S24" s="11" t="s">
        <v>39</v>
      </c>
      <c r="T24" s="11" t="s">
        <v>87</v>
      </c>
      <c r="U24" s="11"/>
    </row>
    <row r="25" customFormat="false" ht="15.75" hidden="false" customHeight="true" outlineLevel="0" collapsed="false">
      <c r="A25" s="7" t="n">
        <v>24</v>
      </c>
      <c r="B25" s="7" t="s">
        <v>82</v>
      </c>
      <c r="C25" s="7" t="s">
        <v>83</v>
      </c>
      <c r="D25" s="7" t="s">
        <v>34</v>
      </c>
      <c r="E25" s="7" t="s">
        <v>84</v>
      </c>
      <c r="F25" s="7" t="s">
        <v>36</v>
      </c>
      <c r="G25" s="12" t="s">
        <v>90</v>
      </c>
      <c r="H25" s="7" t="s">
        <v>10</v>
      </c>
      <c r="I25" s="13" t="n">
        <v>25</v>
      </c>
      <c r="J25" s="9" t="n">
        <v>5</v>
      </c>
      <c r="K25" s="10" t="n">
        <f aca="false">IF(J25="","",J25)</f>
        <v>5</v>
      </c>
      <c r="L25" s="9" t="n">
        <v>4</v>
      </c>
      <c r="M25" s="10" t="n">
        <f aca="false">IF(L25="","",L25)</f>
        <v>4</v>
      </c>
      <c r="N25" s="9" t="n">
        <v>4</v>
      </c>
      <c r="O25" s="10" t="n">
        <f aca="false">IF(N25="","",N25)</f>
        <v>4</v>
      </c>
      <c r="P25" s="9" t="n">
        <v>5</v>
      </c>
      <c r="Q25" s="10" t="n">
        <f aca="false">IF(P25="","",P25)</f>
        <v>5</v>
      </c>
      <c r="R25" s="10" t="n">
        <f aca="false">IF(COUNTA(K25,M25,O25,Q25)=0,"",AVERAGE(K25,M25,O25,Q25))</f>
        <v>4.5</v>
      </c>
      <c r="S25" s="11" t="s">
        <v>39</v>
      </c>
      <c r="T25" s="11" t="s">
        <v>87</v>
      </c>
      <c r="U25" s="11"/>
    </row>
    <row r="26" customFormat="false" ht="15.75" hidden="false" customHeight="true" outlineLevel="0" collapsed="false">
      <c r="A26" s="7" t="n">
        <v>25</v>
      </c>
      <c r="B26" s="7" t="s">
        <v>82</v>
      </c>
      <c r="C26" s="7" t="s">
        <v>83</v>
      </c>
      <c r="D26" s="7" t="s">
        <v>34</v>
      </c>
      <c r="E26" s="7" t="s">
        <v>84</v>
      </c>
      <c r="F26" s="7" t="s">
        <v>36</v>
      </c>
      <c r="G26" s="12" t="s">
        <v>91</v>
      </c>
      <c r="H26" s="7" t="s">
        <v>10</v>
      </c>
      <c r="I26" s="13" t="n">
        <v>12</v>
      </c>
      <c r="J26" s="9" t="n">
        <v>5</v>
      </c>
      <c r="K26" s="10" t="n">
        <f aca="false">IF(J26="","",J26)</f>
        <v>5</v>
      </c>
      <c r="L26" s="9" t="n">
        <v>4</v>
      </c>
      <c r="M26" s="10" t="n">
        <f aca="false">IF(L26="","",L26)</f>
        <v>4</v>
      </c>
      <c r="N26" s="9" t="n">
        <v>4</v>
      </c>
      <c r="O26" s="10" t="n">
        <f aca="false">IF(N26="","",N26)</f>
        <v>4</v>
      </c>
      <c r="P26" s="9" t="n">
        <v>5</v>
      </c>
      <c r="Q26" s="10" t="n">
        <f aca="false">IF(P26="","",P26)</f>
        <v>5</v>
      </c>
      <c r="R26" s="10" t="n">
        <f aca="false">IF(COUNTA(K26,M26,O26,Q26)=0,"",AVERAGE(K26,M26,O26,Q26))</f>
        <v>4.5</v>
      </c>
      <c r="S26" s="11" t="s">
        <v>39</v>
      </c>
      <c r="T26" s="11" t="s">
        <v>87</v>
      </c>
      <c r="U26" s="11"/>
    </row>
    <row r="27" customFormat="false" ht="30.75" hidden="false" customHeight="true" outlineLevel="0" collapsed="false">
      <c r="A27" s="7" t="n">
        <v>26</v>
      </c>
      <c r="B27" s="7" t="s">
        <v>82</v>
      </c>
      <c r="C27" s="7" t="s">
        <v>83</v>
      </c>
      <c r="D27" s="7" t="s">
        <v>34</v>
      </c>
      <c r="E27" s="7" t="s">
        <v>84</v>
      </c>
      <c r="F27" s="7" t="s">
        <v>36</v>
      </c>
      <c r="G27" s="12" t="s">
        <v>92</v>
      </c>
      <c r="H27" s="7" t="s">
        <v>10</v>
      </c>
      <c r="I27" s="12" t="s">
        <v>93</v>
      </c>
      <c r="J27" s="9" t="n">
        <v>5</v>
      </c>
      <c r="K27" s="10" t="n">
        <f aca="false">IF(J27="","",J27)</f>
        <v>5</v>
      </c>
      <c r="L27" s="9" t="n">
        <v>4</v>
      </c>
      <c r="M27" s="10" t="n">
        <f aca="false">IF(L27="","",L27)</f>
        <v>4</v>
      </c>
      <c r="N27" s="9" t="n">
        <v>4</v>
      </c>
      <c r="O27" s="10" t="n">
        <f aca="false">IF(N27="","",N27)</f>
        <v>4</v>
      </c>
      <c r="P27" s="9" t="n">
        <v>5</v>
      </c>
      <c r="Q27" s="10" t="n">
        <f aca="false">IF(P27="","",P27)</f>
        <v>5</v>
      </c>
      <c r="R27" s="10" t="n">
        <f aca="false">IF(COUNTA(K27,M27,O27,Q27)=0,"",AVERAGE(K27,M27,O27,Q27))</f>
        <v>4.5</v>
      </c>
      <c r="S27" s="11" t="s">
        <v>39</v>
      </c>
      <c r="T27" s="11" t="s">
        <v>94</v>
      </c>
      <c r="U27" s="11"/>
    </row>
    <row r="28" customFormat="false" ht="15.75" hidden="false" customHeight="true" outlineLevel="0" collapsed="false">
      <c r="A28" s="7" t="n">
        <v>27</v>
      </c>
      <c r="B28" s="7" t="s">
        <v>82</v>
      </c>
      <c r="C28" s="7" t="s">
        <v>83</v>
      </c>
      <c r="D28" s="7" t="s">
        <v>34</v>
      </c>
      <c r="E28" s="7" t="s">
        <v>84</v>
      </c>
      <c r="F28" s="7" t="s">
        <v>36</v>
      </c>
      <c r="G28" s="12" t="s">
        <v>95</v>
      </c>
      <c r="H28" s="7" t="s">
        <v>10</v>
      </c>
      <c r="I28" s="13" t="n">
        <v>36</v>
      </c>
      <c r="J28" s="9" t="n">
        <v>5</v>
      </c>
      <c r="K28" s="10" t="n">
        <f aca="false">IF(J28="","",J28)</f>
        <v>5</v>
      </c>
      <c r="L28" s="9" t="n">
        <v>4</v>
      </c>
      <c r="M28" s="10" t="n">
        <f aca="false">IF(L28="","",L28)</f>
        <v>4</v>
      </c>
      <c r="N28" s="9" t="n">
        <v>4</v>
      </c>
      <c r="O28" s="10" t="n">
        <f aca="false">IF(N28="","",N28)</f>
        <v>4</v>
      </c>
      <c r="P28" s="9" t="n">
        <v>5</v>
      </c>
      <c r="Q28" s="10" t="n">
        <f aca="false">IF(P28="","",P28)</f>
        <v>5</v>
      </c>
      <c r="R28" s="10" t="n">
        <f aca="false">IF(COUNTA(K28,M28,O28,Q28)=0,"",AVERAGE(K28,M28,O28,Q28))</f>
        <v>4.5</v>
      </c>
      <c r="S28" s="11" t="s">
        <v>39</v>
      </c>
      <c r="T28" s="11" t="s">
        <v>87</v>
      </c>
      <c r="U28" s="11"/>
    </row>
    <row r="29" customFormat="false" ht="30.75" hidden="false" customHeight="true" outlineLevel="0" collapsed="false">
      <c r="A29" s="7" t="n">
        <v>28</v>
      </c>
      <c r="B29" s="7" t="s">
        <v>82</v>
      </c>
      <c r="C29" s="7" t="s">
        <v>83</v>
      </c>
      <c r="D29" s="7" t="s">
        <v>34</v>
      </c>
      <c r="E29" s="7" t="s">
        <v>84</v>
      </c>
      <c r="F29" s="7" t="s">
        <v>36</v>
      </c>
      <c r="G29" s="12" t="s">
        <v>96</v>
      </c>
      <c r="H29" s="7" t="s">
        <v>10</v>
      </c>
      <c r="I29" s="14" t="s">
        <v>97</v>
      </c>
      <c r="J29" s="9" t="n">
        <v>5</v>
      </c>
      <c r="K29" s="10" t="n">
        <f aca="false">IF(J29="","",J29)</f>
        <v>5</v>
      </c>
      <c r="L29" s="9" t="n">
        <v>4</v>
      </c>
      <c r="M29" s="10" t="n">
        <f aca="false">IF(L29="","",L29)</f>
        <v>4</v>
      </c>
      <c r="N29" s="9" t="n">
        <v>4</v>
      </c>
      <c r="O29" s="10" t="n">
        <f aca="false">IF(N29="","",N29)</f>
        <v>4</v>
      </c>
      <c r="P29" s="9" t="n">
        <v>5</v>
      </c>
      <c r="Q29" s="10" t="n">
        <f aca="false">IF(P29="","",P29)</f>
        <v>5</v>
      </c>
      <c r="R29" s="10" t="n">
        <f aca="false">IF(COUNTA(K29,M29,O29,Q29)=0,"",AVERAGE(K29,M29,O29,Q29))</f>
        <v>4.5</v>
      </c>
      <c r="S29" s="11" t="s">
        <v>39</v>
      </c>
      <c r="T29" s="11" t="s">
        <v>87</v>
      </c>
      <c r="U29" s="11"/>
    </row>
    <row r="30" customFormat="false" ht="15.75" hidden="false" customHeight="true" outlineLevel="0" collapsed="false">
      <c r="A30" s="7" t="n">
        <v>29</v>
      </c>
      <c r="B30" s="7" t="s">
        <v>82</v>
      </c>
      <c r="C30" s="7" t="s">
        <v>83</v>
      </c>
      <c r="D30" s="7" t="s">
        <v>34</v>
      </c>
      <c r="E30" s="7" t="s">
        <v>84</v>
      </c>
      <c r="F30" s="7" t="s">
        <v>36</v>
      </c>
      <c r="G30" s="12" t="s">
        <v>98</v>
      </c>
      <c r="H30" s="7" t="s">
        <v>10</v>
      </c>
      <c r="I30" s="15" t="s">
        <v>99</v>
      </c>
      <c r="J30" s="9" t="n">
        <v>5</v>
      </c>
      <c r="K30" s="10" t="n">
        <f aca="false">IF(J30="","",J30)</f>
        <v>5</v>
      </c>
      <c r="L30" s="9" t="n">
        <v>4</v>
      </c>
      <c r="M30" s="10" t="n">
        <f aca="false">IF(L30="","",L30)</f>
        <v>4</v>
      </c>
      <c r="N30" s="9" t="n">
        <v>4</v>
      </c>
      <c r="O30" s="10" t="n">
        <f aca="false">IF(N30="","",N30)</f>
        <v>4</v>
      </c>
      <c r="P30" s="9" t="n">
        <v>5</v>
      </c>
      <c r="Q30" s="10" t="n">
        <f aca="false">IF(P30="","",P30)</f>
        <v>5</v>
      </c>
      <c r="R30" s="10" t="n">
        <f aca="false">IF(COUNTA(K30,M30,O30,Q30)=0,"",AVERAGE(K30,M30,O30,Q30))</f>
        <v>4.5</v>
      </c>
      <c r="S30" s="11" t="s">
        <v>39</v>
      </c>
      <c r="T30" s="11" t="s">
        <v>87</v>
      </c>
      <c r="U30" s="11"/>
    </row>
    <row r="31" customFormat="false" ht="15.75" hidden="false" customHeight="true" outlineLevel="0" collapsed="false">
      <c r="A31" s="7" t="n">
        <v>30</v>
      </c>
      <c r="B31" s="7" t="s">
        <v>82</v>
      </c>
      <c r="C31" s="7" t="s">
        <v>83</v>
      </c>
      <c r="D31" s="7" t="s">
        <v>34</v>
      </c>
      <c r="E31" s="7" t="s">
        <v>84</v>
      </c>
      <c r="F31" s="7" t="s">
        <v>36</v>
      </c>
      <c r="G31" s="12" t="s">
        <v>100</v>
      </c>
      <c r="H31" s="7" t="s">
        <v>10</v>
      </c>
      <c r="I31" s="13" t="n">
        <v>49</v>
      </c>
      <c r="J31" s="9" t="n">
        <v>5</v>
      </c>
      <c r="K31" s="10" t="n">
        <f aca="false">IF(J31="","",J31)</f>
        <v>5</v>
      </c>
      <c r="L31" s="9" t="n">
        <v>4</v>
      </c>
      <c r="M31" s="10" t="n">
        <f aca="false">IF(L31="","",L31)</f>
        <v>4</v>
      </c>
      <c r="N31" s="9" t="n">
        <v>4</v>
      </c>
      <c r="O31" s="10" t="n">
        <f aca="false">IF(N31="","",N31)</f>
        <v>4</v>
      </c>
      <c r="P31" s="9" t="n">
        <v>5</v>
      </c>
      <c r="Q31" s="10" t="n">
        <f aca="false">IF(P31="","",P31)</f>
        <v>5</v>
      </c>
      <c r="R31" s="10" t="n">
        <f aca="false">IF(COUNTA(K31,M31,O31,Q31)=0,"",AVERAGE(K31,M31,O31,Q31))</f>
        <v>4.5</v>
      </c>
      <c r="S31" s="11" t="s">
        <v>39</v>
      </c>
      <c r="T31" s="11" t="s">
        <v>87</v>
      </c>
      <c r="U31" s="11"/>
    </row>
    <row r="32" customFormat="false" ht="45.75" hidden="false" customHeight="true" outlineLevel="0" collapsed="false">
      <c r="A32" s="7" t="n">
        <v>31</v>
      </c>
      <c r="B32" s="7" t="s">
        <v>101</v>
      </c>
      <c r="C32" s="7" t="s">
        <v>102</v>
      </c>
      <c r="D32" s="7" t="s">
        <v>62</v>
      </c>
      <c r="E32" s="7" t="s">
        <v>103</v>
      </c>
      <c r="F32" s="7" t="s">
        <v>36</v>
      </c>
      <c r="G32" s="12" t="s">
        <v>104</v>
      </c>
      <c r="H32" s="7" t="s">
        <v>10</v>
      </c>
      <c r="I32" s="12" t="s">
        <v>105</v>
      </c>
      <c r="J32" s="9" t="n">
        <v>5</v>
      </c>
      <c r="K32" s="10" t="n">
        <f aca="false">IF(J32="","",J32)</f>
        <v>5</v>
      </c>
      <c r="L32" s="9" t="n">
        <v>5</v>
      </c>
      <c r="M32" s="10" t="n">
        <f aca="false">IF(L32="","",L32)</f>
        <v>5</v>
      </c>
      <c r="N32" s="9" t="n">
        <v>5</v>
      </c>
      <c r="O32" s="10" t="n">
        <f aca="false">IF(N32="","",N32)</f>
        <v>5</v>
      </c>
      <c r="P32" s="9" t="n">
        <v>5</v>
      </c>
      <c r="Q32" s="10" t="n">
        <f aca="false">IF(P32="","",P32)</f>
        <v>5</v>
      </c>
      <c r="R32" s="10" t="n">
        <f aca="false">IF(COUNTA(K32,M32,O32,Q32)=0,"",AVERAGE(K32,M32,O32,Q32))</f>
        <v>5</v>
      </c>
      <c r="S32" s="11" t="s">
        <v>39</v>
      </c>
      <c r="T32" s="11" t="s">
        <v>106</v>
      </c>
      <c r="U32" s="11"/>
    </row>
    <row r="33" customFormat="false" ht="45.75" hidden="false" customHeight="true" outlineLevel="0" collapsed="false">
      <c r="A33" s="7" t="n">
        <v>32</v>
      </c>
      <c r="B33" s="7" t="s">
        <v>101</v>
      </c>
      <c r="C33" s="7" t="s">
        <v>102</v>
      </c>
      <c r="D33" s="7" t="s">
        <v>62</v>
      </c>
      <c r="E33" s="7" t="s">
        <v>103</v>
      </c>
      <c r="F33" s="7" t="s">
        <v>36</v>
      </c>
      <c r="G33" s="12" t="s">
        <v>107</v>
      </c>
      <c r="H33" s="7" t="s">
        <v>10</v>
      </c>
      <c r="I33" s="12" t="s">
        <v>108</v>
      </c>
      <c r="J33" s="9" t="n">
        <v>5</v>
      </c>
      <c r="K33" s="10" t="n">
        <f aca="false">IF(J33="","",J33)</f>
        <v>5</v>
      </c>
      <c r="L33" s="9" t="n">
        <v>5</v>
      </c>
      <c r="M33" s="10" t="n">
        <f aca="false">IF(L33="","",L33)</f>
        <v>5</v>
      </c>
      <c r="N33" s="9" t="n">
        <v>5</v>
      </c>
      <c r="O33" s="10" t="n">
        <f aca="false">IF(N33="","",N33)</f>
        <v>5</v>
      </c>
      <c r="P33" s="9" t="n">
        <v>5</v>
      </c>
      <c r="Q33" s="10" t="n">
        <f aca="false">IF(P33="","",P33)</f>
        <v>5</v>
      </c>
      <c r="R33" s="10" t="n">
        <f aca="false">IF(COUNTA(K33,M33,O33,Q33)=0,"",AVERAGE(K33,M33,O33,Q33))</f>
        <v>5</v>
      </c>
      <c r="S33" s="11" t="s">
        <v>39</v>
      </c>
      <c r="T33" s="11" t="s">
        <v>106</v>
      </c>
      <c r="U33" s="11"/>
    </row>
    <row r="34" customFormat="false" ht="45.75" hidden="false" customHeight="true" outlineLevel="0" collapsed="false">
      <c r="A34" s="7" t="n">
        <v>33</v>
      </c>
      <c r="B34" s="7" t="s">
        <v>101</v>
      </c>
      <c r="C34" s="7" t="s">
        <v>102</v>
      </c>
      <c r="D34" s="7" t="s">
        <v>62</v>
      </c>
      <c r="E34" s="7" t="s">
        <v>103</v>
      </c>
      <c r="F34" s="7" t="s">
        <v>36</v>
      </c>
      <c r="G34" s="12" t="s">
        <v>109</v>
      </c>
      <c r="H34" s="7" t="s">
        <v>10</v>
      </c>
      <c r="I34" s="12" t="s">
        <v>110</v>
      </c>
      <c r="J34" s="9" t="n">
        <v>5</v>
      </c>
      <c r="K34" s="10" t="n">
        <f aca="false">IF(J34="","",J34)</f>
        <v>5</v>
      </c>
      <c r="L34" s="9" t="n">
        <v>4</v>
      </c>
      <c r="M34" s="10" t="n">
        <f aca="false">IF(L34="","",L34)</f>
        <v>4</v>
      </c>
      <c r="N34" s="9" t="n">
        <v>4</v>
      </c>
      <c r="O34" s="10" t="n">
        <f aca="false">IF(N34="","",N34)</f>
        <v>4</v>
      </c>
      <c r="P34" s="9" t="n">
        <v>5</v>
      </c>
      <c r="Q34" s="10" t="n">
        <f aca="false">IF(P34="","",P34)</f>
        <v>5</v>
      </c>
      <c r="R34" s="10" t="n">
        <f aca="false">IF(COUNTA(K34,M34,O34,Q34)=0,"",AVERAGE(K34,M34,O34,Q34))</f>
        <v>4.5</v>
      </c>
      <c r="S34" s="11" t="s">
        <v>39</v>
      </c>
      <c r="T34" s="11" t="s">
        <v>106</v>
      </c>
      <c r="U34" s="11"/>
    </row>
    <row r="35" customFormat="false" ht="45.75" hidden="false" customHeight="true" outlineLevel="0" collapsed="false">
      <c r="A35" s="7" t="n">
        <v>34</v>
      </c>
      <c r="B35" s="7" t="s">
        <v>101</v>
      </c>
      <c r="C35" s="7" t="s">
        <v>102</v>
      </c>
      <c r="D35" s="7" t="s">
        <v>62</v>
      </c>
      <c r="E35" s="7" t="s">
        <v>103</v>
      </c>
      <c r="F35" s="7" t="s">
        <v>36</v>
      </c>
      <c r="G35" s="12" t="s">
        <v>111</v>
      </c>
      <c r="H35" s="7" t="s">
        <v>10</v>
      </c>
      <c r="I35" s="12" t="s">
        <v>112</v>
      </c>
      <c r="J35" s="9" t="n">
        <v>5</v>
      </c>
      <c r="K35" s="10" t="n">
        <f aca="false">IF(J35="","",J35)</f>
        <v>5</v>
      </c>
      <c r="L35" s="9" t="n">
        <v>5</v>
      </c>
      <c r="M35" s="10" t="n">
        <f aca="false">IF(L35="","",L35)</f>
        <v>5</v>
      </c>
      <c r="N35" s="9" t="n">
        <v>5</v>
      </c>
      <c r="O35" s="10" t="n">
        <f aca="false">IF(N35="","",N35)</f>
        <v>5</v>
      </c>
      <c r="P35" s="9" t="n">
        <v>5</v>
      </c>
      <c r="Q35" s="10" t="n">
        <f aca="false">IF(P35="","",P35)</f>
        <v>5</v>
      </c>
      <c r="R35" s="10" t="n">
        <f aca="false">IF(COUNTA(K35,M35,O35,Q35)=0,"",AVERAGE(K35,M35,O35,Q35))</f>
        <v>5</v>
      </c>
      <c r="S35" s="11" t="s">
        <v>39</v>
      </c>
      <c r="T35" s="11" t="s">
        <v>106</v>
      </c>
      <c r="U35" s="11"/>
    </row>
    <row r="36" customFormat="false" ht="60.75" hidden="false" customHeight="true" outlineLevel="0" collapsed="false">
      <c r="A36" s="7" t="n">
        <v>35</v>
      </c>
      <c r="B36" s="7" t="s">
        <v>101</v>
      </c>
      <c r="C36" s="7" t="s">
        <v>102</v>
      </c>
      <c r="D36" s="7" t="s">
        <v>62</v>
      </c>
      <c r="E36" s="7" t="s">
        <v>103</v>
      </c>
      <c r="F36" s="7" t="s">
        <v>36</v>
      </c>
      <c r="G36" s="12" t="s">
        <v>113</v>
      </c>
      <c r="H36" s="7" t="s">
        <v>10</v>
      </c>
      <c r="I36" s="12" t="s">
        <v>114</v>
      </c>
      <c r="J36" s="9" t="n">
        <v>5</v>
      </c>
      <c r="K36" s="10" t="n">
        <f aca="false">IF(J36="","",J36)</f>
        <v>5</v>
      </c>
      <c r="L36" s="9" t="n">
        <v>4</v>
      </c>
      <c r="M36" s="10" t="n">
        <f aca="false">IF(L36="","",L36)</f>
        <v>4</v>
      </c>
      <c r="N36" s="9" t="n">
        <v>4</v>
      </c>
      <c r="O36" s="10" t="n">
        <f aca="false">IF(N36="","",N36)</f>
        <v>4</v>
      </c>
      <c r="P36" s="9" t="n">
        <v>5</v>
      </c>
      <c r="Q36" s="10" t="n">
        <f aca="false">IF(P36="","",P36)</f>
        <v>5</v>
      </c>
      <c r="R36" s="10" t="n">
        <f aca="false">IF(COUNTA(K36,M36,O36,Q36)=0,"",AVERAGE(K36,M36,O36,Q36))</f>
        <v>4.5</v>
      </c>
      <c r="S36" s="11" t="s">
        <v>39</v>
      </c>
      <c r="T36" s="11" t="s">
        <v>106</v>
      </c>
      <c r="U36" s="11"/>
    </row>
    <row r="37" customFormat="false" ht="45.75" hidden="false" customHeight="true" outlineLevel="0" collapsed="false">
      <c r="A37" s="7" t="n">
        <v>36</v>
      </c>
      <c r="B37" s="7" t="s">
        <v>101</v>
      </c>
      <c r="C37" s="7" t="s">
        <v>102</v>
      </c>
      <c r="D37" s="7" t="s">
        <v>62</v>
      </c>
      <c r="E37" s="7" t="s">
        <v>103</v>
      </c>
      <c r="F37" s="7" t="s">
        <v>36</v>
      </c>
      <c r="G37" s="12" t="s">
        <v>115</v>
      </c>
      <c r="H37" s="7" t="s">
        <v>10</v>
      </c>
      <c r="I37" s="12" t="s">
        <v>116</v>
      </c>
      <c r="J37" s="9" t="n">
        <v>5</v>
      </c>
      <c r="K37" s="10" t="n">
        <f aca="false">IF(J37="","",J37)</f>
        <v>5</v>
      </c>
      <c r="L37" s="9" t="n">
        <v>4</v>
      </c>
      <c r="M37" s="10" t="n">
        <f aca="false">IF(L37="","",L37)</f>
        <v>4</v>
      </c>
      <c r="N37" s="9" t="n">
        <v>4</v>
      </c>
      <c r="O37" s="10" t="n">
        <f aca="false">IF(N37="","",N37)</f>
        <v>4</v>
      </c>
      <c r="P37" s="9" t="n">
        <v>5</v>
      </c>
      <c r="Q37" s="10" t="n">
        <f aca="false">IF(P37="","",P37)</f>
        <v>5</v>
      </c>
      <c r="R37" s="10" t="n">
        <f aca="false">IF(COUNTA(K37,M37,O37,Q37)=0,"",AVERAGE(K37,M37,O37,Q37))</f>
        <v>4.5</v>
      </c>
      <c r="S37" s="11" t="s">
        <v>39</v>
      </c>
      <c r="T37" s="11" t="s">
        <v>106</v>
      </c>
      <c r="U37" s="11"/>
    </row>
    <row r="38" customFormat="false" ht="45.75" hidden="false" customHeight="true" outlineLevel="0" collapsed="false">
      <c r="A38" s="7" t="n">
        <v>37</v>
      </c>
      <c r="B38" s="7" t="s">
        <v>101</v>
      </c>
      <c r="C38" s="7" t="s">
        <v>102</v>
      </c>
      <c r="D38" s="7" t="s">
        <v>62</v>
      </c>
      <c r="E38" s="7" t="s">
        <v>103</v>
      </c>
      <c r="F38" s="7" t="s">
        <v>36</v>
      </c>
      <c r="G38" s="12" t="s">
        <v>117</v>
      </c>
      <c r="H38" s="7" t="s">
        <v>10</v>
      </c>
      <c r="I38" s="12" t="s">
        <v>118</v>
      </c>
      <c r="J38" s="9" t="n">
        <v>5</v>
      </c>
      <c r="K38" s="10" t="n">
        <f aca="false">IF(J38="","",J38)</f>
        <v>5</v>
      </c>
      <c r="L38" s="9" t="n">
        <v>5</v>
      </c>
      <c r="M38" s="10" t="n">
        <f aca="false">IF(L38="","",L38)</f>
        <v>5</v>
      </c>
      <c r="N38" s="9" t="n">
        <v>5</v>
      </c>
      <c r="O38" s="10" t="n">
        <f aca="false">IF(N38="","",N38)</f>
        <v>5</v>
      </c>
      <c r="P38" s="9" t="n">
        <v>5</v>
      </c>
      <c r="Q38" s="10" t="n">
        <f aca="false">IF(P38="","",P38)</f>
        <v>5</v>
      </c>
      <c r="R38" s="10" t="n">
        <f aca="false">IF(COUNTA(K38,M38,O38,Q38)=0,"",AVERAGE(K38,M38,O38,Q38))</f>
        <v>5</v>
      </c>
      <c r="S38" s="11" t="s">
        <v>39</v>
      </c>
      <c r="T38" s="11" t="s">
        <v>106</v>
      </c>
      <c r="U38" s="11"/>
    </row>
    <row r="39" customFormat="false" ht="45.75" hidden="false" customHeight="true" outlineLevel="0" collapsed="false">
      <c r="A39" s="7" t="n">
        <v>38</v>
      </c>
      <c r="B39" s="7" t="s">
        <v>101</v>
      </c>
      <c r="C39" s="7" t="s">
        <v>102</v>
      </c>
      <c r="D39" s="7" t="s">
        <v>62</v>
      </c>
      <c r="E39" s="7" t="s">
        <v>103</v>
      </c>
      <c r="F39" s="7" t="s">
        <v>36</v>
      </c>
      <c r="G39" s="12" t="s">
        <v>119</v>
      </c>
      <c r="H39" s="7" t="s">
        <v>10</v>
      </c>
      <c r="I39" s="12" t="s">
        <v>120</v>
      </c>
      <c r="J39" s="9" t="n">
        <v>5</v>
      </c>
      <c r="K39" s="10" t="n">
        <f aca="false">IF(J39="","",J39)</f>
        <v>5</v>
      </c>
      <c r="L39" s="9" t="n">
        <v>4</v>
      </c>
      <c r="M39" s="10" t="n">
        <f aca="false">IF(L39="","",L39)</f>
        <v>4</v>
      </c>
      <c r="N39" s="9" t="n">
        <v>5</v>
      </c>
      <c r="O39" s="10" t="n">
        <f aca="false">IF(N39="","",N39)</f>
        <v>5</v>
      </c>
      <c r="P39" s="9" t="n">
        <v>5</v>
      </c>
      <c r="Q39" s="10" t="n">
        <f aca="false">IF(P39="","",P39)</f>
        <v>5</v>
      </c>
      <c r="R39" s="10" t="n">
        <f aca="false">IF(COUNTA(K39,M39,O39,Q39)=0,"",AVERAGE(K39,M39,O39,Q39))</f>
        <v>4.75</v>
      </c>
      <c r="S39" s="11" t="s">
        <v>39</v>
      </c>
      <c r="T39" s="11" t="s">
        <v>106</v>
      </c>
      <c r="U39" s="11"/>
    </row>
    <row r="40" customFormat="false" ht="45.75" hidden="false" customHeight="true" outlineLevel="0" collapsed="false">
      <c r="A40" s="7" t="n">
        <v>39</v>
      </c>
      <c r="B40" s="7" t="s">
        <v>101</v>
      </c>
      <c r="C40" s="7" t="s">
        <v>102</v>
      </c>
      <c r="D40" s="7" t="s">
        <v>62</v>
      </c>
      <c r="E40" s="7" t="s">
        <v>103</v>
      </c>
      <c r="F40" s="7" t="s">
        <v>36</v>
      </c>
      <c r="G40" s="12" t="s">
        <v>121</v>
      </c>
      <c r="H40" s="7" t="s">
        <v>10</v>
      </c>
      <c r="I40" s="12" t="s">
        <v>122</v>
      </c>
      <c r="J40" s="9" t="n">
        <v>5</v>
      </c>
      <c r="K40" s="10" t="n">
        <f aca="false">IF(J40="","",J40)</f>
        <v>5</v>
      </c>
      <c r="L40" s="9" t="n">
        <v>5</v>
      </c>
      <c r="M40" s="10" t="n">
        <f aca="false">IF(L40="","",L40)</f>
        <v>5</v>
      </c>
      <c r="N40" s="9" t="n">
        <v>5</v>
      </c>
      <c r="O40" s="10" t="n">
        <f aca="false">IF(N40="","",N40)</f>
        <v>5</v>
      </c>
      <c r="P40" s="9" t="n">
        <v>5</v>
      </c>
      <c r="Q40" s="10" t="n">
        <f aca="false">IF(P40="","",P40)</f>
        <v>5</v>
      </c>
      <c r="R40" s="10" t="n">
        <f aca="false">IF(COUNTA(K40,M40,O40,Q40)=0,"",AVERAGE(K40,M40,O40,Q40))</f>
        <v>5</v>
      </c>
      <c r="S40" s="11" t="s">
        <v>39</v>
      </c>
      <c r="T40" s="11" t="s">
        <v>106</v>
      </c>
      <c r="U40" s="11"/>
    </row>
    <row r="41" customFormat="false" ht="45.75" hidden="false" customHeight="true" outlineLevel="0" collapsed="false">
      <c r="A41" s="7" t="n">
        <v>40</v>
      </c>
      <c r="B41" s="7" t="s">
        <v>101</v>
      </c>
      <c r="C41" s="7" t="s">
        <v>102</v>
      </c>
      <c r="D41" s="7" t="s">
        <v>62</v>
      </c>
      <c r="E41" s="7" t="s">
        <v>103</v>
      </c>
      <c r="F41" s="7" t="s">
        <v>36</v>
      </c>
      <c r="G41" s="12" t="s">
        <v>123</v>
      </c>
      <c r="H41" s="7" t="s">
        <v>10</v>
      </c>
      <c r="I41" s="12" t="s">
        <v>124</v>
      </c>
      <c r="J41" s="9" t="n">
        <v>5</v>
      </c>
      <c r="K41" s="10" t="n">
        <f aca="false">IF(J41="","",J41)</f>
        <v>5</v>
      </c>
      <c r="L41" s="9" t="n">
        <v>5</v>
      </c>
      <c r="M41" s="10" t="n">
        <f aca="false">IF(L41="","",L41)</f>
        <v>5</v>
      </c>
      <c r="N41" s="9" t="n">
        <v>5</v>
      </c>
      <c r="O41" s="10" t="n">
        <f aca="false">IF(N41="","",N41)</f>
        <v>5</v>
      </c>
      <c r="P41" s="9" t="n">
        <v>5</v>
      </c>
      <c r="Q41" s="10" t="n">
        <f aca="false">IF(P41="","",P41)</f>
        <v>5</v>
      </c>
      <c r="R41" s="10" t="n">
        <f aca="false">IF(COUNTA(K41,M41,O41,Q41)=0,"",AVERAGE(K41,M41,O41,Q41))</f>
        <v>5</v>
      </c>
      <c r="S41" s="11" t="s">
        <v>39</v>
      </c>
      <c r="T41" s="11" t="s">
        <v>106</v>
      </c>
      <c r="U41" s="11"/>
    </row>
    <row r="42" customFormat="false" ht="30.75" hidden="false" customHeight="true" outlineLevel="0" collapsed="false">
      <c r="A42" s="7" t="n">
        <v>41</v>
      </c>
      <c r="B42" s="7" t="s">
        <v>125</v>
      </c>
      <c r="C42" s="7" t="s">
        <v>126</v>
      </c>
      <c r="D42" s="7" t="s">
        <v>34</v>
      </c>
      <c r="E42" s="7" t="s">
        <v>127</v>
      </c>
      <c r="F42" s="7" t="s">
        <v>128</v>
      </c>
      <c r="G42" s="12" t="s">
        <v>129</v>
      </c>
      <c r="H42" s="7" t="s">
        <v>10</v>
      </c>
      <c r="I42" s="12" t="s">
        <v>130</v>
      </c>
      <c r="J42" s="9" t="n">
        <v>5</v>
      </c>
      <c r="K42" s="10" t="n">
        <f aca="false">IF(J42="","",J42)</f>
        <v>5</v>
      </c>
      <c r="L42" s="9" t="n">
        <v>4</v>
      </c>
      <c r="M42" s="10" t="n">
        <f aca="false">IF(L42="","",L42)</f>
        <v>4</v>
      </c>
      <c r="N42" s="9" t="n">
        <v>5</v>
      </c>
      <c r="O42" s="10" t="n">
        <f aca="false">IF(N42="","",N42)</f>
        <v>5</v>
      </c>
      <c r="P42" s="9" t="n">
        <v>5</v>
      </c>
      <c r="Q42" s="10" t="n">
        <f aca="false">IF(P42="","",P42)</f>
        <v>5</v>
      </c>
      <c r="R42" s="10" t="n">
        <f aca="false">IF(COUNTA(K42,M42,O42,Q42)=0,"",AVERAGE(K42,M42,O42,Q42))</f>
        <v>4.75</v>
      </c>
      <c r="S42" s="11" t="s">
        <v>39</v>
      </c>
      <c r="T42" s="11" t="s">
        <v>131</v>
      </c>
      <c r="U42" s="11"/>
    </row>
    <row r="43" customFormat="false" ht="120.75" hidden="false" customHeight="true" outlineLevel="0" collapsed="false">
      <c r="A43" s="7" t="n">
        <v>42</v>
      </c>
      <c r="B43" s="7" t="s">
        <v>125</v>
      </c>
      <c r="C43" s="7" t="s">
        <v>126</v>
      </c>
      <c r="D43" s="7" t="s">
        <v>34</v>
      </c>
      <c r="E43" s="7" t="s">
        <v>127</v>
      </c>
      <c r="F43" s="7" t="s">
        <v>128</v>
      </c>
      <c r="G43" s="12" t="s">
        <v>132</v>
      </c>
      <c r="H43" s="7" t="s">
        <v>10</v>
      </c>
      <c r="I43" s="12" t="s">
        <v>133</v>
      </c>
      <c r="J43" s="9" t="n">
        <v>5</v>
      </c>
      <c r="K43" s="10" t="n">
        <f aca="false">IF(J43="","",J43)</f>
        <v>5</v>
      </c>
      <c r="L43" s="9" t="n">
        <v>5</v>
      </c>
      <c r="M43" s="10" t="n">
        <f aca="false">IF(L43="","",L43)</f>
        <v>5</v>
      </c>
      <c r="N43" s="9" t="n">
        <v>5</v>
      </c>
      <c r="O43" s="10" t="n">
        <f aca="false">IF(N43="","",N43)</f>
        <v>5</v>
      </c>
      <c r="P43" s="9" t="n">
        <v>5</v>
      </c>
      <c r="Q43" s="10" t="n">
        <f aca="false">IF(P43="","",P43)</f>
        <v>5</v>
      </c>
      <c r="R43" s="10" t="n">
        <f aca="false">IF(COUNTA(K43,M43,O43,Q43)=0,"",AVERAGE(K43,M43,O43,Q43))</f>
        <v>5</v>
      </c>
      <c r="S43" s="11" t="s">
        <v>39</v>
      </c>
      <c r="T43" s="11" t="s">
        <v>131</v>
      </c>
      <c r="U43" s="11"/>
    </row>
    <row r="44" customFormat="false" ht="90.75" hidden="false" customHeight="true" outlineLevel="0" collapsed="false">
      <c r="A44" s="7" t="n">
        <v>43</v>
      </c>
      <c r="B44" s="7" t="s">
        <v>125</v>
      </c>
      <c r="C44" s="7" t="s">
        <v>126</v>
      </c>
      <c r="D44" s="7" t="s">
        <v>34</v>
      </c>
      <c r="E44" s="7" t="s">
        <v>127</v>
      </c>
      <c r="F44" s="7" t="s">
        <v>128</v>
      </c>
      <c r="G44" s="12" t="s">
        <v>134</v>
      </c>
      <c r="H44" s="7" t="s">
        <v>10</v>
      </c>
      <c r="I44" s="12" t="s">
        <v>135</v>
      </c>
      <c r="J44" s="9" t="n">
        <v>5</v>
      </c>
      <c r="K44" s="10" t="n">
        <f aca="false">IF(J44="","",J44)</f>
        <v>5</v>
      </c>
      <c r="L44" s="9" t="n">
        <v>5</v>
      </c>
      <c r="M44" s="10" t="n">
        <f aca="false">IF(L44="","",L44)</f>
        <v>5</v>
      </c>
      <c r="N44" s="9" t="n">
        <v>5</v>
      </c>
      <c r="O44" s="10" t="n">
        <f aca="false">IF(N44="","",N44)</f>
        <v>5</v>
      </c>
      <c r="P44" s="9" t="n">
        <v>5</v>
      </c>
      <c r="Q44" s="10" t="n">
        <f aca="false">IF(P44="","",P44)</f>
        <v>5</v>
      </c>
      <c r="R44" s="10" t="n">
        <f aca="false">IF(COUNTA(K44,M44,O44,Q44)=0,"",AVERAGE(K44,M44,O44,Q44))</f>
        <v>5</v>
      </c>
      <c r="S44" s="11" t="s">
        <v>39</v>
      </c>
      <c r="T44" s="11" t="s">
        <v>131</v>
      </c>
      <c r="U44" s="11"/>
    </row>
    <row r="45" customFormat="false" ht="15.75" hidden="false" customHeight="true" outlineLevel="0" collapsed="false">
      <c r="A45" s="7" t="n">
        <v>44</v>
      </c>
      <c r="B45" s="7" t="s">
        <v>125</v>
      </c>
      <c r="C45" s="7" t="s">
        <v>126</v>
      </c>
      <c r="D45" s="7" t="s">
        <v>34</v>
      </c>
      <c r="E45" s="7" t="s">
        <v>127</v>
      </c>
      <c r="F45" s="7" t="s">
        <v>128</v>
      </c>
      <c r="G45" s="12" t="s">
        <v>136</v>
      </c>
      <c r="H45" s="7" t="s">
        <v>10</v>
      </c>
      <c r="I45" s="12" t="s">
        <v>137</v>
      </c>
      <c r="J45" s="9" t="n">
        <v>5</v>
      </c>
      <c r="K45" s="10" t="n">
        <f aca="false">IF(J45="","",J45)</f>
        <v>5</v>
      </c>
      <c r="L45" s="9" t="n">
        <v>4</v>
      </c>
      <c r="M45" s="10" t="n">
        <f aca="false">IF(L45="","",L45)</f>
        <v>4</v>
      </c>
      <c r="N45" s="9" t="n">
        <v>4</v>
      </c>
      <c r="O45" s="10" t="n">
        <f aca="false">IF(N45="","",N45)</f>
        <v>4</v>
      </c>
      <c r="P45" s="9" t="n">
        <v>5</v>
      </c>
      <c r="Q45" s="10" t="n">
        <f aca="false">IF(P45="","",P45)</f>
        <v>5</v>
      </c>
      <c r="R45" s="10" t="n">
        <f aca="false">IF(COUNTA(K45,M45,O45,Q45)=0,"",AVERAGE(K45,M45,O45,Q45))</f>
        <v>4.5</v>
      </c>
      <c r="S45" s="11" t="s">
        <v>39</v>
      </c>
      <c r="T45" s="11" t="s">
        <v>131</v>
      </c>
      <c r="U45" s="11"/>
    </row>
    <row r="46" customFormat="false" ht="150.75" hidden="false" customHeight="true" outlineLevel="0" collapsed="false">
      <c r="A46" s="7" t="n">
        <v>45</v>
      </c>
      <c r="B46" s="7" t="s">
        <v>125</v>
      </c>
      <c r="C46" s="7" t="s">
        <v>126</v>
      </c>
      <c r="D46" s="7" t="s">
        <v>34</v>
      </c>
      <c r="E46" s="7" t="s">
        <v>127</v>
      </c>
      <c r="F46" s="7" t="s">
        <v>128</v>
      </c>
      <c r="G46" s="12" t="s">
        <v>138</v>
      </c>
      <c r="H46" s="7" t="s">
        <v>10</v>
      </c>
      <c r="I46" s="12" t="s">
        <v>139</v>
      </c>
      <c r="J46" s="9" t="n">
        <v>5</v>
      </c>
      <c r="K46" s="10" t="n">
        <f aca="false">IF(J46="","",J46)</f>
        <v>5</v>
      </c>
      <c r="L46" s="9" t="n">
        <v>5</v>
      </c>
      <c r="M46" s="10" t="n">
        <f aca="false">IF(L46="","",L46)</f>
        <v>5</v>
      </c>
      <c r="N46" s="9" t="n">
        <v>5</v>
      </c>
      <c r="O46" s="10" t="n">
        <f aca="false">IF(N46="","",N46)</f>
        <v>5</v>
      </c>
      <c r="P46" s="9" t="n">
        <v>5</v>
      </c>
      <c r="Q46" s="10" t="n">
        <f aca="false">IF(P46="","",P46)</f>
        <v>5</v>
      </c>
      <c r="R46" s="10" t="n">
        <f aca="false">IF(COUNTA(K46,M46,O46,Q46)=0,"",AVERAGE(K46,M46,O46,Q46))</f>
        <v>5</v>
      </c>
      <c r="S46" s="11" t="s">
        <v>39</v>
      </c>
      <c r="T46" s="11" t="s">
        <v>131</v>
      </c>
      <c r="U46" s="11"/>
    </row>
    <row r="47" customFormat="false" ht="75.75" hidden="false" customHeight="true" outlineLevel="0" collapsed="false">
      <c r="A47" s="7" t="n">
        <v>46</v>
      </c>
      <c r="B47" s="7" t="s">
        <v>125</v>
      </c>
      <c r="C47" s="7" t="s">
        <v>126</v>
      </c>
      <c r="D47" s="7" t="s">
        <v>34</v>
      </c>
      <c r="E47" s="7" t="s">
        <v>127</v>
      </c>
      <c r="F47" s="7" t="s">
        <v>128</v>
      </c>
      <c r="G47" s="12" t="s">
        <v>140</v>
      </c>
      <c r="H47" s="7" t="s">
        <v>10</v>
      </c>
      <c r="I47" s="12" t="s">
        <v>141</v>
      </c>
      <c r="J47" s="9" t="n">
        <v>5</v>
      </c>
      <c r="K47" s="10" t="n">
        <f aca="false">IF(J47="","",J47)</f>
        <v>5</v>
      </c>
      <c r="L47" s="9" t="n">
        <v>5</v>
      </c>
      <c r="M47" s="10" t="n">
        <f aca="false">IF(L47="","",L47)</f>
        <v>5</v>
      </c>
      <c r="N47" s="9" t="n">
        <v>5</v>
      </c>
      <c r="O47" s="10" t="n">
        <f aca="false">IF(N47="","",N47)</f>
        <v>5</v>
      </c>
      <c r="P47" s="9" t="n">
        <v>5</v>
      </c>
      <c r="Q47" s="10" t="n">
        <f aca="false">IF(P47="","",P47)</f>
        <v>5</v>
      </c>
      <c r="R47" s="10" t="n">
        <f aca="false">IF(COUNTA(K47,M47,O47,Q47)=0,"",AVERAGE(K47,M47,O47,Q47))</f>
        <v>5</v>
      </c>
      <c r="S47" s="11" t="s">
        <v>39</v>
      </c>
      <c r="T47" s="11" t="s">
        <v>131</v>
      </c>
      <c r="U47" s="11"/>
    </row>
    <row r="48" customFormat="false" ht="15.75" hidden="false" customHeight="true" outlineLevel="0" collapsed="false">
      <c r="A48" s="7" t="n">
        <v>47</v>
      </c>
      <c r="B48" s="7" t="s">
        <v>125</v>
      </c>
      <c r="C48" s="7" t="s">
        <v>126</v>
      </c>
      <c r="D48" s="7" t="s">
        <v>34</v>
      </c>
      <c r="E48" s="7" t="s">
        <v>127</v>
      </c>
      <c r="F48" s="7" t="s">
        <v>128</v>
      </c>
      <c r="G48" s="12" t="s">
        <v>142</v>
      </c>
      <c r="H48" s="7" t="s">
        <v>10</v>
      </c>
      <c r="I48" s="12" t="s">
        <v>143</v>
      </c>
      <c r="J48" s="9" t="n">
        <v>5</v>
      </c>
      <c r="K48" s="10" t="n">
        <f aca="false">IF(J48="","",J48)</f>
        <v>5</v>
      </c>
      <c r="L48" s="9" t="n">
        <v>4</v>
      </c>
      <c r="M48" s="10" t="n">
        <f aca="false">IF(L48="","",L48)</f>
        <v>4</v>
      </c>
      <c r="N48" s="9" t="n">
        <v>4</v>
      </c>
      <c r="O48" s="10" t="n">
        <f aca="false">IF(N48="","",N48)</f>
        <v>4</v>
      </c>
      <c r="P48" s="9" t="n">
        <v>5</v>
      </c>
      <c r="Q48" s="10" t="n">
        <f aca="false">IF(P48="","",P48)</f>
        <v>5</v>
      </c>
      <c r="R48" s="10" t="n">
        <f aca="false">IF(COUNTA(K48,M48,O48,Q48)=0,"",AVERAGE(K48,M48,O48,Q48))</f>
        <v>4.5</v>
      </c>
      <c r="S48" s="11" t="s">
        <v>39</v>
      </c>
      <c r="T48" s="11" t="s">
        <v>131</v>
      </c>
      <c r="U48" s="11"/>
    </row>
    <row r="49" customFormat="false" ht="15.75" hidden="false" customHeight="true" outlineLevel="0" collapsed="false">
      <c r="A49" s="7" t="n">
        <v>48</v>
      </c>
      <c r="B49" s="7" t="s">
        <v>125</v>
      </c>
      <c r="C49" s="7" t="s">
        <v>126</v>
      </c>
      <c r="D49" s="7" t="s">
        <v>34</v>
      </c>
      <c r="E49" s="7" t="s">
        <v>127</v>
      </c>
      <c r="F49" s="7" t="s">
        <v>128</v>
      </c>
      <c r="G49" s="12" t="s">
        <v>144</v>
      </c>
      <c r="H49" s="7" t="s">
        <v>10</v>
      </c>
      <c r="I49" s="12" t="s">
        <v>145</v>
      </c>
      <c r="J49" s="9" t="n">
        <v>5</v>
      </c>
      <c r="K49" s="10" t="n">
        <f aca="false">IF(J49="","",J49)</f>
        <v>5</v>
      </c>
      <c r="L49" s="9" t="n">
        <v>4</v>
      </c>
      <c r="M49" s="10" t="n">
        <f aca="false">IF(L49="","",L49)</f>
        <v>4</v>
      </c>
      <c r="N49" s="9" t="n">
        <v>4</v>
      </c>
      <c r="O49" s="10" t="n">
        <f aca="false">IF(N49="","",N49)</f>
        <v>4</v>
      </c>
      <c r="P49" s="9" t="n">
        <v>5</v>
      </c>
      <c r="Q49" s="10" t="n">
        <f aca="false">IF(P49="","",P49)</f>
        <v>5</v>
      </c>
      <c r="R49" s="10" t="n">
        <f aca="false">IF(COUNTA(K49,M49,O49,Q49)=0,"",AVERAGE(K49,M49,O49,Q49))</f>
        <v>4.5</v>
      </c>
      <c r="S49" s="11" t="s">
        <v>39</v>
      </c>
      <c r="T49" s="11" t="s">
        <v>131</v>
      </c>
      <c r="U49" s="11"/>
    </row>
    <row r="50" customFormat="false" ht="45.75" hidden="false" customHeight="true" outlineLevel="0" collapsed="false">
      <c r="A50" s="7" t="n">
        <v>49</v>
      </c>
      <c r="B50" s="7" t="s">
        <v>125</v>
      </c>
      <c r="C50" s="7" t="s">
        <v>126</v>
      </c>
      <c r="D50" s="7" t="s">
        <v>34</v>
      </c>
      <c r="E50" s="7" t="s">
        <v>127</v>
      </c>
      <c r="F50" s="7" t="s">
        <v>128</v>
      </c>
      <c r="G50" s="12" t="s">
        <v>146</v>
      </c>
      <c r="H50" s="7" t="s">
        <v>10</v>
      </c>
      <c r="I50" s="12" t="s">
        <v>147</v>
      </c>
      <c r="J50" s="9" t="n">
        <v>5</v>
      </c>
      <c r="K50" s="10" t="n">
        <f aca="false">IF(J50="","",J50)</f>
        <v>5</v>
      </c>
      <c r="L50" s="9" t="n">
        <v>5</v>
      </c>
      <c r="M50" s="10" t="n">
        <f aca="false">IF(L50="","",L50)</f>
        <v>5</v>
      </c>
      <c r="N50" s="9" t="n">
        <v>5</v>
      </c>
      <c r="O50" s="10" t="n">
        <f aca="false">IF(N50="","",N50)</f>
        <v>5</v>
      </c>
      <c r="P50" s="9" t="n">
        <v>5</v>
      </c>
      <c r="Q50" s="10" t="n">
        <f aca="false">IF(P50="","",P50)</f>
        <v>5</v>
      </c>
      <c r="R50" s="10" t="n">
        <f aca="false">IF(COUNTA(K50,M50,O50,Q50)=0,"",AVERAGE(K50,M50,O50,Q50))</f>
        <v>5</v>
      </c>
      <c r="S50" s="11" t="s">
        <v>39</v>
      </c>
      <c r="T50" s="11" t="s">
        <v>131</v>
      </c>
      <c r="U50" s="11"/>
    </row>
    <row r="51" customFormat="false" ht="75.75" hidden="false" customHeight="true" outlineLevel="0" collapsed="false">
      <c r="A51" s="7" t="n">
        <v>50</v>
      </c>
      <c r="B51" s="7" t="s">
        <v>125</v>
      </c>
      <c r="C51" s="7" t="s">
        <v>126</v>
      </c>
      <c r="D51" s="7" t="s">
        <v>34</v>
      </c>
      <c r="E51" s="7" t="s">
        <v>127</v>
      </c>
      <c r="F51" s="7" t="s">
        <v>128</v>
      </c>
      <c r="G51" s="12" t="s">
        <v>148</v>
      </c>
      <c r="H51" s="7" t="s">
        <v>10</v>
      </c>
      <c r="I51" s="12" t="s">
        <v>149</v>
      </c>
      <c r="J51" s="9" t="n">
        <v>5</v>
      </c>
      <c r="K51" s="10" t="n">
        <f aca="false">IF(J51="","",J51)</f>
        <v>5</v>
      </c>
      <c r="L51" s="9" t="n">
        <v>5</v>
      </c>
      <c r="M51" s="10" t="n">
        <f aca="false">IF(L51="","",L51)</f>
        <v>5</v>
      </c>
      <c r="N51" s="9" t="n">
        <v>5</v>
      </c>
      <c r="O51" s="10" t="n">
        <f aca="false">IF(N51="","",N51)</f>
        <v>5</v>
      </c>
      <c r="P51" s="9" t="n">
        <v>5</v>
      </c>
      <c r="Q51" s="10" t="n">
        <f aca="false">IF(P51="","",P51)</f>
        <v>5</v>
      </c>
      <c r="R51" s="10" t="n">
        <f aca="false">IF(COUNTA(K51,M51,O51,Q51)=0,"",AVERAGE(K51,M51,O51,Q51))</f>
        <v>5</v>
      </c>
      <c r="S51" s="11" t="s">
        <v>39</v>
      </c>
      <c r="T51" s="11" t="s">
        <v>131</v>
      </c>
      <c r="U51" s="11"/>
    </row>
    <row r="52" customFormat="false" ht="75.75" hidden="false" customHeight="true" outlineLevel="0" collapsed="false">
      <c r="A52" s="7" t="n">
        <v>51</v>
      </c>
      <c r="B52" s="7" t="s">
        <v>150</v>
      </c>
      <c r="C52" s="7" t="s">
        <v>151</v>
      </c>
      <c r="D52" s="7" t="s">
        <v>62</v>
      </c>
      <c r="E52" s="7" t="s">
        <v>152</v>
      </c>
      <c r="F52" s="7" t="s">
        <v>36</v>
      </c>
      <c r="G52" s="12" t="s">
        <v>153</v>
      </c>
      <c r="H52" s="7" t="s">
        <v>10</v>
      </c>
      <c r="I52" s="12" t="s">
        <v>154</v>
      </c>
      <c r="J52" s="9" t="n">
        <v>5</v>
      </c>
      <c r="K52" s="10" t="n">
        <f aca="false">IF(J52="","",J52)</f>
        <v>5</v>
      </c>
      <c r="L52" s="9" t="n">
        <v>5</v>
      </c>
      <c r="M52" s="10" t="n">
        <f aca="false">IF(L52="","",L52)</f>
        <v>5</v>
      </c>
      <c r="N52" s="9" t="n">
        <v>5</v>
      </c>
      <c r="O52" s="10" t="n">
        <f aca="false">IF(N52="","",N52)</f>
        <v>5</v>
      </c>
      <c r="P52" s="9" t="n">
        <v>5</v>
      </c>
      <c r="Q52" s="10" t="n">
        <f aca="false">IF(P52="","",P52)</f>
        <v>5</v>
      </c>
      <c r="R52" s="10" t="n">
        <f aca="false">IF(COUNTA(K52,M52,O52,Q52)=0,"",AVERAGE(K52,M52,O52,Q52))</f>
        <v>5</v>
      </c>
      <c r="S52" s="11" t="s">
        <v>39</v>
      </c>
      <c r="T52" s="11" t="s">
        <v>155</v>
      </c>
      <c r="U52" s="11"/>
    </row>
    <row r="53" customFormat="false" ht="30.75" hidden="false" customHeight="true" outlineLevel="0" collapsed="false">
      <c r="A53" s="7" t="n">
        <v>52</v>
      </c>
      <c r="B53" s="7" t="s">
        <v>150</v>
      </c>
      <c r="C53" s="7" t="s">
        <v>151</v>
      </c>
      <c r="D53" s="7" t="s">
        <v>62</v>
      </c>
      <c r="E53" s="7" t="s">
        <v>152</v>
      </c>
      <c r="F53" s="7" t="s">
        <v>36</v>
      </c>
      <c r="G53" s="12" t="s">
        <v>156</v>
      </c>
      <c r="H53" s="7" t="s">
        <v>10</v>
      </c>
      <c r="I53" s="12" t="s">
        <v>157</v>
      </c>
      <c r="J53" s="9" t="n">
        <v>5</v>
      </c>
      <c r="K53" s="10" t="n">
        <f aca="false">IF(J53="","",J53)</f>
        <v>5</v>
      </c>
      <c r="L53" s="9" t="n">
        <v>5</v>
      </c>
      <c r="M53" s="10" t="n">
        <f aca="false">IF(L53="","",L53)</f>
        <v>5</v>
      </c>
      <c r="N53" s="9" t="n">
        <v>5</v>
      </c>
      <c r="O53" s="10" t="n">
        <f aca="false">IF(N53="","",N53)</f>
        <v>5</v>
      </c>
      <c r="P53" s="9" t="n">
        <v>5</v>
      </c>
      <c r="Q53" s="10" t="n">
        <f aca="false">IF(P53="","",P53)</f>
        <v>5</v>
      </c>
      <c r="R53" s="10" t="n">
        <f aca="false">IF(COUNTA(K53,M53,O53,Q53)=0,"",AVERAGE(K53,M53,O53,Q53))</f>
        <v>5</v>
      </c>
      <c r="S53" s="11" t="s">
        <v>39</v>
      </c>
      <c r="T53" s="11" t="s">
        <v>155</v>
      </c>
      <c r="U53" s="11"/>
    </row>
    <row r="54" customFormat="false" ht="120.75" hidden="false" customHeight="true" outlineLevel="0" collapsed="false">
      <c r="A54" s="7" t="n">
        <v>53</v>
      </c>
      <c r="B54" s="7" t="s">
        <v>150</v>
      </c>
      <c r="C54" s="7" t="s">
        <v>151</v>
      </c>
      <c r="D54" s="7" t="s">
        <v>62</v>
      </c>
      <c r="E54" s="7" t="s">
        <v>152</v>
      </c>
      <c r="F54" s="7" t="s">
        <v>36</v>
      </c>
      <c r="G54" s="12" t="s">
        <v>158</v>
      </c>
      <c r="H54" s="7" t="s">
        <v>10</v>
      </c>
      <c r="I54" s="12" t="s">
        <v>159</v>
      </c>
      <c r="J54" s="9" t="n">
        <v>5</v>
      </c>
      <c r="K54" s="10" t="n">
        <f aca="false">IF(J54="","",J54)</f>
        <v>5</v>
      </c>
      <c r="L54" s="9" t="n">
        <v>5</v>
      </c>
      <c r="M54" s="10" t="n">
        <f aca="false">IF(L54="","",L54)</f>
        <v>5</v>
      </c>
      <c r="N54" s="9" t="n">
        <v>5</v>
      </c>
      <c r="O54" s="10" t="n">
        <f aca="false">IF(N54="","",N54)</f>
        <v>5</v>
      </c>
      <c r="P54" s="9" t="n">
        <v>5</v>
      </c>
      <c r="Q54" s="10" t="n">
        <f aca="false">IF(P54="","",P54)</f>
        <v>5</v>
      </c>
      <c r="R54" s="10" t="n">
        <f aca="false">IF(COUNTA(K54,M54,O54,Q54)=0,"",AVERAGE(K54,M54,O54,Q54))</f>
        <v>5</v>
      </c>
      <c r="S54" s="11" t="s">
        <v>39</v>
      </c>
      <c r="T54" s="11" t="s">
        <v>155</v>
      </c>
      <c r="U54" s="11"/>
    </row>
    <row r="55" customFormat="false" ht="45.75" hidden="false" customHeight="true" outlineLevel="0" collapsed="false">
      <c r="A55" s="7" t="n">
        <v>54</v>
      </c>
      <c r="B55" s="7" t="s">
        <v>150</v>
      </c>
      <c r="C55" s="7" t="s">
        <v>151</v>
      </c>
      <c r="D55" s="7" t="s">
        <v>62</v>
      </c>
      <c r="E55" s="7" t="s">
        <v>152</v>
      </c>
      <c r="F55" s="7" t="s">
        <v>36</v>
      </c>
      <c r="G55" s="12" t="s">
        <v>160</v>
      </c>
      <c r="H55" s="7" t="s">
        <v>10</v>
      </c>
      <c r="I55" s="12" t="s">
        <v>161</v>
      </c>
      <c r="J55" s="9" t="n">
        <v>5</v>
      </c>
      <c r="K55" s="10" t="n">
        <f aca="false">IF(J55="","",J55)</f>
        <v>5</v>
      </c>
      <c r="L55" s="9" t="n">
        <v>5</v>
      </c>
      <c r="M55" s="10" t="n">
        <f aca="false">IF(L55="","",L55)</f>
        <v>5</v>
      </c>
      <c r="N55" s="9" t="n">
        <v>5</v>
      </c>
      <c r="O55" s="10" t="n">
        <f aca="false">IF(N55="","",N55)</f>
        <v>5</v>
      </c>
      <c r="P55" s="9" t="n">
        <v>5</v>
      </c>
      <c r="Q55" s="10" t="n">
        <f aca="false">IF(P55="","",P55)</f>
        <v>5</v>
      </c>
      <c r="R55" s="10" t="n">
        <f aca="false">IF(COUNTA(K55,M55,O55,Q55)=0,"",AVERAGE(K55,M55,O55,Q55))</f>
        <v>5</v>
      </c>
      <c r="S55" s="11" t="s">
        <v>39</v>
      </c>
      <c r="T55" s="11" t="s">
        <v>155</v>
      </c>
      <c r="U55" s="11"/>
    </row>
    <row r="56" customFormat="false" ht="75.75" hidden="false" customHeight="true" outlineLevel="0" collapsed="false">
      <c r="A56" s="7" t="n">
        <v>55</v>
      </c>
      <c r="B56" s="7" t="s">
        <v>150</v>
      </c>
      <c r="C56" s="7" t="s">
        <v>151</v>
      </c>
      <c r="D56" s="7" t="s">
        <v>62</v>
      </c>
      <c r="E56" s="7" t="s">
        <v>152</v>
      </c>
      <c r="F56" s="7" t="s">
        <v>36</v>
      </c>
      <c r="G56" s="12" t="s">
        <v>162</v>
      </c>
      <c r="H56" s="7" t="s">
        <v>10</v>
      </c>
      <c r="I56" s="12" t="s">
        <v>163</v>
      </c>
      <c r="J56" s="9" t="n">
        <v>5</v>
      </c>
      <c r="K56" s="10" t="n">
        <f aca="false">IF(J56="","",J56)</f>
        <v>5</v>
      </c>
      <c r="L56" s="9" t="n">
        <v>5</v>
      </c>
      <c r="M56" s="10" t="n">
        <f aca="false">IF(L56="","",L56)</f>
        <v>5</v>
      </c>
      <c r="N56" s="9" t="n">
        <v>5</v>
      </c>
      <c r="O56" s="10" t="n">
        <f aca="false">IF(N56="","",N56)</f>
        <v>5</v>
      </c>
      <c r="P56" s="9" t="n">
        <v>5</v>
      </c>
      <c r="Q56" s="10" t="n">
        <f aca="false">IF(P56="","",P56)</f>
        <v>5</v>
      </c>
      <c r="R56" s="10" t="n">
        <f aca="false">IF(COUNTA(K56,M56,O56,Q56)=0,"",AVERAGE(K56,M56,O56,Q56))</f>
        <v>5</v>
      </c>
      <c r="S56" s="11" t="s">
        <v>39</v>
      </c>
      <c r="T56" s="11" t="s">
        <v>155</v>
      </c>
      <c r="U56" s="11"/>
    </row>
    <row r="57" customFormat="false" ht="45.75" hidden="false" customHeight="true" outlineLevel="0" collapsed="false">
      <c r="A57" s="7" t="n">
        <v>56</v>
      </c>
      <c r="B57" s="7" t="s">
        <v>150</v>
      </c>
      <c r="C57" s="7" t="s">
        <v>151</v>
      </c>
      <c r="D57" s="7" t="s">
        <v>62</v>
      </c>
      <c r="E57" s="7" t="s">
        <v>152</v>
      </c>
      <c r="F57" s="7" t="s">
        <v>36</v>
      </c>
      <c r="G57" s="12" t="s">
        <v>164</v>
      </c>
      <c r="H57" s="7" t="s">
        <v>10</v>
      </c>
      <c r="I57" s="12" t="s">
        <v>165</v>
      </c>
      <c r="J57" s="9" t="n">
        <v>5</v>
      </c>
      <c r="K57" s="10" t="n">
        <f aca="false">IF(J57="","",J57)</f>
        <v>5</v>
      </c>
      <c r="L57" s="9" t="n">
        <v>5</v>
      </c>
      <c r="M57" s="10" t="n">
        <f aca="false">IF(L57="","",L57)</f>
        <v>5</v>
      </c>
      <c r="N57" s="9" t="n">
        <v>5</v>
      </c>
      <c r="O57" s="10" t="n">
        <f aca="false">IF(N57="","",N57)</f>
        <v>5</v>
      </c>
      <c r="P57" s="9" t="n">
        <v>5</v>
      </c>
      <c r="Q57" s="10" t="n">
        <f aca="false">IF(P57="","",P57)</f>
        <v>5</v>
      </c>
      <c r="R57" s="10" t="n">
        <f aca="false">IF(COUNTA(K57,M57,O57,Q57)=0,"",AVERAGE(K57,M57,O57,Q57))</f>
        <v>5</v>
      </c>
      <c r="S57" s="11" t="s">
        <v>39</v>
      </c>
      <c r="T57" s="11" t="s">
        <v>166</v>
      </c>
      <c r="U57" s="11"/>
    </row>
    <row r="58" customFormat="false" ht="45.75" hidden="false" customHeight="true" outlineLevel="0" collapsed="false">
      <c r="A58" s="7" t="n">
        <v>57</v>
      </c>
      <c r="B58" s="7" t="s">
        <v>150</v>
      </c>
      <c r="C58" s="7" t="s">
        <v>151</v>
      </c>
      <c r="D58" s="7" t="s">
        <v>62</v>
      </c>
      <c r="E58" s="7" t="s">
        <v>152</v>
      </c>
      <c r="F58" s="7" t="s">
        <v>36</v>
      </c>
      <c r="G58" s="12" t="s">
        <v>167</v>
      </c>
      <c r="H58" s="7" t="s">
        <v>10</v>
      </c>
      <c r="I58" s="12" t="s">
        <v>168</v>
      </c>
      <c r="J58" s="9" t="n">
        <v>5</v>
      </c>
      <c r="K58" s="10" t="n">
        <f aca="false">IF(J58="","",J58)</f>
        <v>5</v>
      </c>
      <c r="L58" s="9" t="n">
        <v>5</v>
      </c>
      <c r="M58" s="10" t="n">
        <f aca="false">IF(L58="","",L58)</f>
        <v>5</v>
      </c>
      <c r="N58" s="9" t="n">
        <v>5</v>
      </c>
      <c r="O58" s="10" t="n">
        <f aca="false">IF(N58="","",N58)</f>
        <v>5</v>
      </c>
      <c r="P58" s="9" t="n">
        <v>5</v>
      </c>
      <c r="Q58" s="10" t="n">
        <f aca="false">IF(P58="","",P58)</f>
        <v>5</v>
      </c>
      <c r="R58" s="10" t="n">
        <f aca="false">IF(COUNTA(K58,M58,O58,Q58)=0,"",AVERAGE(K58,M58,O58,Q58))</f>
        <v>5</v>
      </c>
      <c r="S58" s="11" t="s">
        <v>39</v>
      </c>
      <c r="T58" s="11" t="s">
        <v>155</v>
      </c>
      <c r="U58" s="11"/>
    </row>
    <row r="59" customFormat="false" ht="45.75" hidden="false" customHeight="true" outlineLevel="0" collapsed="false">
      <c r="A59" s="7" t="n">
        <v>58</v>
      </c>
      <c r="B59" s="7" t="s">
        <v>150</v>
      </c>
      <c r="C59" s="7" t="s">
        <v>151</v>
      </c>
      <c r="D59" s="7" t="s">
        <v>62</v>
      </c>
      <c r="E59" s="7" t="s">
        <v>152</v>
      </c>
      <c r="F59" s="7" t="s">
        <v>36</v>
      </c>
      <c r="G59" s="12" t="s">
        <v>169</v>
      </c>
      <c r="H59" s="7" t="s">
        <v>10</v>
      </c>
      <c r="I59" s="12" t="s">
        <v>170</v>
      </c>
      <c r="J59" s="9" t="n">
        <v>5</v>
      </c>
      <c r="K59" s="10" t="n">
        <f aca="false">IF(J59="","",J59)</f>
        <v>5</v>
      </c>
      <c r="L59" s="9" t="n">
        <v>5</v>
      </c>
      <c r="M59" s="10" t="n">
        <f aca="false">IF(L59="","",L59)</f>
        <v>5</v>
      </c>
      <c r="N59" s="9" t="n">
        <v>5</v>
      </c>
      <c r="O59" s="10" t="n">
        <f aca="false">IF(N59="","",N59)</f>
        <v>5</v>
      </c>
      <c r="P59" s="9" t="n">
        <v>5</v>
      </c>
      <c r="Q59" s="10" t="n">
        <f aca="false">IF(P59="","",P59)</f>
        <v>5</v>
      </c>
      <c r="R59" s="10" t="n">
        <f aca="false">IF(COUNTA(K59,M59,O59,Q59)=0,"",AVERAGE(K59,M59,O59,Q59))</f>
        <v>5</v>
      </c>
      <c r="S59" s="11" t="s">
        <v>39</v>
      </c>
      <c r="T59" s="11" t="s">
        <v>155</v>
      </c>
      <c r="U59" s="11"/>
    </row>
    <row r="60" customFormat="false" ht="30.75" hidden="false" customHeight="true" outlineLevel="0" collapsed="false">
      <c r="A60" s="7" t="n">
        <v>59</v>
      </c>
      <c r="B60" s="7" t="s">
        <v>150</v>
      </c>
      <c r="C60" s="7" t="s">
        <v>151</v>
      </c>
      <c r="D60" s="7" t="s">
        <v>62</v>
      </c>
      <c r="E60" s="7" t="s">
        <v>152</v>
      </c>
      <c r="F60" s="7" t="s">
        <v>36</v>
      </c>
      <c r="G60" s="12" t="s">
        <v>171</v>
      </c>
      <c r="H60" s="7" t="s">
        <v>10</v>
      </c>
      <c r="I60" s="12" t="s">
        <v>172</v>
      </c>
      <c r="J60" s="9" t="n">
        <v>5</v>
      </c>
      <c r="K60" s="10" t="n">
        <f aca="false">IF(J60="","",J60)</f>
        <v>5</v>
      </c>
      <c r="L60" s="9" t="n">
        <v>5</v>
      </c>
      <c r="M60" s="10" t="n">
        <f aca="false">IF(L60="","",L60)</f>
        <v>5</v>
      </c>
      <c r="N60" s="9" t="n">
        <v>5</v>
      </c>
      <c r="O60" s="10" t="n">
        <f aca="false">IF(N60="","",N60)</f>
        <v>5</v>
      </c>
      <c r="P60" s="9" t="n">
        <v>5</v>
      </c>
      <c r="Q60" s="10" t="n">
        <f aca="false">IF(P60="","",P60)</f>
        <v>5</v>
      </c>
      <c r="R60" s="10" t="n">
        <f aca="false">IF(COUNTA(K60,M60,O60,Q60)=0,"",AVERAGE(K60,M60,O60,Q60))</f>
        <v>5</v>
      </c>
      <c r="S60" s="11" t="s">
        <v>39</v>
      </c>
      <c r="T60" s="11" t="s">
        <v>155</v>
      </c>
      <c r="U60" s="11"/>
    </row>
    <row r="61" customFormat="false" ht="60.75" hidden="false" customHeight="true" outlineLevel="0" collapsed="false">
      <c r="A61" s="7" t="n">
        <v>60</v>
      </c>
      <c r="B61" s="7" t="s">
        <v>150</v>
      </c>
      <c r="C61" s="7" t="s">
        <v>151</v>
      </c>
      <c r="D61" s="7" t="s">
        <v>62</v>
      </c>
      <c r="E61" s="7" t="s">
        <v>152</v>
      </c>
      <c r="F61" s="7" t="s">
        <v>36</v>
      </c>
      <c r="G61" s="12" t="s">
        <v>173</v>
      </c>
      <c r="H61" s="7" t="s">
        <v>10</v>
      </c>
      <c r="I61" s="12" t="s">
        <v>174</v>
      </c>
      <c r="J61" s="9" t="n">
        <v>5</v>
      </c>
      <c r="K61" s="10" t="n">
        <f aca="false">IF(J61="","",J61)</f>
        <v>5</v>
      </c>
      <c r="L61" s="9" t="n">
        <v>5</v>
      </c>
      <c r="M61" s="10" t="n">
        <f aca="false">IF(L61="","",L61)</f>
        <v>5</v>
      </c>
      <c r="N61" s="9" t="n">
        <v>5</v>
      </c>
      <c r="O61" s="10" t="n">
        <f aca="false">IF(N61="","",N61)</f>
        <v>5</v>
      </c>
      <c r="P61" s="9" t="n">
        <v>5</v>
      </c>
      <c r="Q61" s="10" t="n">
        <f aca="false">IF(P61="","",P61)</f>
        <v>5</v>
      </c>
      <c r="R61" s="10" t="n">
        <f aca="false">IF(COUNTA(K61,M61,O61,Q61)=0,"",AVERAGE(K61,M61,O61,Q61))</f>
        <v>5</v>
      </c>
      <c r="S61" s="11" t="s">
        <v>39</v>
      </c>
      <c r="T61" s="11" t="s">
        <v>155</v>
      </c>
      <c r="U61" s="11"/>
    </row>
    <row r="62" customFormat="false" ht="30.75" hidden="false" customHeight="true" outlineLevel="0" collapsed="false">
      <c r="A62" s="7" t="n">
        <v>61</v>
      </c>
      <c r="B62" s="7" t="s">
        <v>175</v>
      </c>
      <c r="C62" s="7" t="s">
        <v>61</v>
      </c>
      <c r="D62" s="7" t="s">
        <v>62</v>
      </c>
      <c r="E62" s="7" t="s">
        <v>176</v>
      </c>
      <c r="F62" s="7" t="s">
        <v>36</v>
      </c>
      <c r="G62" s="12" t="s">
        <v>177</v>
      </c>
      <c r="H62" s="7" t="s">
        <v>10</v>
      </c>
      <c r="I62" s="16" t="s">
        <v>178</v>
      </c>
      <c r="J62" s="9" t="n">
        <v>5</v>
      </c>
      <c r="K62" s="10" t="n">
        <f aca="false">IF(J62="","",J62)</f>
        <v>5</v>
      </c>
      <c r="L62" s="9" t="n">
        <v>4</v>
      </c>
      <c r="M62" s="10" t="n">
        <f aca="false">IF(L62="","",L62)</f>
        <v>4</v>
      </c>
      <c r="N62" s="9" t="n">
        <v>4</v>
      </c>
      <c r="O62" s="10" t="n">
        <f aca="false">IF(N62="","",N62)</f>
        <v>4</v>
      </c>
      <c r="P62" s="9" t="n">
        <v>5</v>
      </c>
      <c r="Q62" s="10" t="n">
        <f aca="false">IF(P62="","",P62)</f>
        <v>5</v>
      </c>
      <c r="R62" s="10" t="n">
        <f aca="false">IF(COUNTA(K62,M62,O62,Q62)=0,"",AVERAGE(K62,M62,O62,Q62))</f>
        <v>4.5</v>
      </c>
      <c r="S62" s="11" t="s">
        <v>39</v>
      </c>
      <c r="T62" s="11" t="s">
        <v>87</v>
      </c>
      <c r="U62" s="11"/>
    </row>
    <row r="63" customFormat="false" ht="30.75" hidden="false" customHeight="true" outlineLevel="0" collapsed="false">
      <c r="A63" s="7" t="n">
        <v>62</v>
      </c>
      <c r="B63" s="7" t="s">
        <v>175</v>
      </c>
      <c r="C63" s="7" t="s">
        <v>61</v>
      </c>
      <c r="D63" s="7" t="s">
        <v>62</v>
      </c>
      <c r="E63" s="7" t="s">
        <v>176</v>
      </c>
      <c r="F63" s="7" t="s">
        <v>36</v>
      </c>
      <c r="G63" s="12" t="s">
        <v>179</v>
      </c>
      <c r="H63" s="7" t="s">
        <v>10</v>
      </c>
      <c r="I63" s="12" t="s">
        <v>180</v>
      </c>
      <c r="J63" s="9" t="n">
        <v>5</v>
      </c>
      <c r="K63" s="10" t="n">
        <f aca="false">IF(J63="","",J63)</f>
        <v>5</v>
      </c>
      <c r="L63" s="9" t="n">
        <v>4</v>
      </c>
      <c r="M63" s="10" t="n">
        <f aca="false">IF(L63="","",L63)</f>
        <v>4</v>
      </c>
      <c r="N63" s="9" t="n">
        <v>4</v>
      </c>
      <c r="O63" s="10" t="n">
        <f aca="false">IF(N63="","",N63)</f>
        <v>4</v>
      </c>
      <c r="P63" s="9" t="n">
        <v>5</v>
      </c>
      <c r="Q63" s="10" t="n">
        <f aca="false">IF(P63="","",P63)</f>
        <v>5</v>
      </c>
      <c r="R63" s="10" t="n">
        <f aca="false">IF(COUNTA(K63,M63,O63,Q63)=0,"",AVERAGE(K63,M63,O63,Q63))</f>
        <v>4.5</v>
      </c>
      <c r="S63" s="11" t="s">
        <v>39</v>
      </c>
      <c r="T63" s="11" t="s">
        <v>87</v>
      </c>
      <c r="U63" s="11"/>
    </row>
    <row r="64" customFormat="false" ht="30.75" hidden="false" customHeight="true" outlineLevel="0" collapsed="false">
      <c r="A64" s="7" t="n">
        <v>63</v>
      </c>
      <c r="B64" s="7" t="s">
        <v>175</v>
      </c>
      <c r="C64" s="7" t="s">
        <v>61</v>
      </c>
      <c r="D64" s="7" t="s">
        <v>62</v>
      </c>
      <c r="E64" s="7" t="s">
        <v>176</v>
      </c>
      <c r="F64" s="7" t="s">
        <v>36</v>
      </c>
      <c r="G64" s="12" t="s">
        <v>181</v>
      </c>
      <c r="H64" s="7" t="s">
        <v>10</v>
      </c>
      <c r="I64" s="13" t="n">
        <v>6</v>
      </c>
      <c r="J64" s="9" t="n">
        <v>5</v>
      </c>
      <c r="K64" s="10" t="n">
        <f aca="false">IF(J64="","",J64)</f>
        <v>5</v>
      </c>
      <c r="L64" s="9" t="n">
        <v>4</v>
      </c>
      <c r="M64" s="10" t="n">
        <f aca="false">IF(L64="","",L64)</f>
        <v>4</v>
      </c>
      <c r="N64" s="9" t="n">
        <v>4</v>
      </c>
      <c r="O64" s="10" t="n">
        <f aca="false">IF(N64="","",N64)</f>
        <v>4</v>
      </c>
      <c r="P64" s="9" t="n">
        <v>5</v>
      </c>
      <c r="Q64" s="10" t="n">
        <f aca="false">IF(P64="","",P64)</f>
        <v>5</v>
      </c>
      <c r="R64" s="10" t="n">
        <f aca="false">IF(COUNTA(K64,M64,O64,Q64)=0,"",AVERAGE(K64,M64,O64,Q64))</f>
        <v>4.5</v>
      </c>
      <c r="S64" s="11" t="s">
        <v>39</v>
      </c>
      <c r="T64" s="11" t="s">
        <v>87</v>
      </c>
      <c r="U64" s="11"/>
    </row>
    <row r="65" customFormat="false" ht="30.75" hidden="false" customHeight="true" outlineLevel="0" collapsed="false">
      <c r="A65" s="7" t="n">
        <v>64</v>
      </c>
      <c r="B65" s="7" t="s">
        <v>175</v>
      </c>
      <c r="C65" s="7" t="s">
        <v>61</v>
      </c>
      <c r="D65" s="7" t="s">
        <v>62</v>
      </c>
      <c r="E65" s="7" t="s">
        <v>176</v>
      </c>
      <c r="F65" s="7" t="s">
        <v>36</v>
      </c>
      <c r="G65" s="12" t="s">
        <v>182</v>
      </c>
      <c r="H65" s="7" t="s">
        <v>10</v>
      </c>
      <c r="I65" s="12" t="s">
        <v>183</v>
      </c>
      <c r="J65" s="9" t="n">
        <v>5</v>
      </c>
      <c r="K65" s="10" t="n">
        <f aca="false">IF(J65="","",J65)</f>
        <v>5</v>
      </c>
      <c r="L65" s="9" t="n">
        <v>4</v>
      </c>
      <c r="M65" s="10" t="n">
        <f aca="false">IF(L65="","",L65)</f>
        <v>4</v>
      </c>
      <c r="N65" s="9" t="n">
        <v>4</v>
      </c>
      <c r="O65" s="10" t="n">
        <f aca="false">IF(N65="","",N65)</f>
        <v>4</v>
      </c>
      <c r="P65" s="9" t="n">
        <v>5</v>
      </c>
      <c r="Q65" s="10" t="n">
        <f aca="false">IF(P65="","",P65)</f>
        <v>5</v>
      </c>
      <c r="R65" s="10" t="n">
        <f aca="false">IF(COUNTA(K65,M65,O65,Q65)=0,"",AVERAGE(K65,M65,O65,Q65))</f>
        <v>4.5</v>
      </c>
      <c r="S65" s="11" t="s">
        <v>39</v>
      </c>
      <c r="T65" s="11" t="s">
        <v>87</v>
      </c>
      <c r="U65" s="11"/>
    </row>
    <row r="66" customFormat="false" ht="30.75" hidden="false" customHeight="true" outlineLevel="0" collapsed="false">
      <c r="A66" s="7" t="n">
        <v>65</v>
      </c>
      <c r="B66" s="7" t="s">
        <v>175</v>
      </c>
      <c r="C66" s="7" t="s">
        <v>61</v>
      </c>
      <c r="D66" s="7" t="s">
        <v>62</v>
      </c>
      <c r="E66" s="7" t="s">
        <v>176</v>
      </c>
      <c r="F66" s="7" t="s">
        <v>36</v>
      </c>
      <c r="G66" s="12" t="s">
        <v>184</v>
      </c>
      <c r="H66" s="7" t="s">
        <v>10</v>
      </c>
      <c r="I66" s="12" t="s">
        <v>185</v>
      </c>
      <c r="J66" s="9" t="n">
        <v>5</v>
      </c>
      <c r="K66" s="10" t="n">
        <f aca="false">IF(J66="","",J66)</f>
        <v>5</v>
      </c>
      <c r="L66" s="9" t="n">
        <v>4</v>
      </c>
      <c r="M66" s="10" t="n">
        <f aca="false">IF(L66="","",L66)</f>
        <v>4</v>
      </c>
      <c r="N66" s="9" t="n">
        <v>4</v>
      </c>
      <c r="O66" s="10" t="n">
        <f aca="false">IF(N66="","",N66)</f>
        <v>4</v>
      </c>
      <c r="P66" s="9" t="n">
        <v>5</v>
      </c>
      <c r="Q66" s="10" t="n">
        <f aca="false">IF(P66="","",P66)</f>
        <v>5</v>
      </c>
      <c r="R66" s="10" t="n">
        <f aca="false">IF(COUNTA(K66,M66,O66,Q66)=0,"",AVERAGE(K66,M66,O66,Q66))</f>
        <v>4.5</v>
      </c>
      <c r="S66" s="11" t="s">
        <v>39</v>
      </c>
      <c r="T66" s="11" t="s">
        <v>87</v>
      </c>
      <c r="U66" s="11"/>
    </row>
    <row r="67" customFormat="false" ht="30.75" hidden="false" customHeight="true" outlineLevel="0" collapsed="false">
      <c r="A67" s="7" t="n">
        <v>66</v>
      </c>
      <c r="B67" s="7" t="s">
        <v>175</v>
      </c>
      <c r="C67" s="7" t="s">
        <v>61</v>
      </c>
      <c r="D67" s="7" t="s">
        <v>62</v>
      </c>
      <c r="E67" s="7" t="s">
        <v>176</v>
      </c>
      <c r="F67" s="7" t="s">
        <v>36</v>
      </c>
      <c r="G67" s="12" t="s">
        <v>186</v>
      </c>
      <c r="H67" s="7" t="s">
        <v>10</v>
      </c>
      <c r="I67" s="13" t="n">
        <v>150</v>
      </c>
      <c r="J67" s="9" t="n">
        <v>5</v>
      </c>
      <c r="K67" s="10" t="n">
        <f aca="false">IF(J67="","",J67)</f>
        <v>5</v>
      </c>
      <c r="L67" s="9" t="n">
        <v>4</v>
      </c>
      <c r="M67" s="10" t="n">
        <f aca="false">IF(L67="","",L67)</f>
        <v>4</v>
      </c>
      <c r="N67" s="9" t="n">
        <v>4</v>
      </c>
      <c r="O67" s="10" t="n">
        <f aca="false">IF(N67="","",N67)</f>
        <v>4</v>
      </c>
      <c r="P67" s="9" t="n">
        <v>5</v>
      </c>
      <c r="Q67" s="10" t="n">
        <f aca="false">IF(P67="","",P67)</f>
        <v>5</v>
      </c>
      <c r="R67" s="10" t="n">
        <f aca="false">IF(COUNTA(K67,M67,O67,Q67)=0,"",AVERAGE(K67,M67,O67,Q67))</f>
        <v>4.5</v>
      </c>
      <c r="S67" s="11" t="s">
        <v>39</v>
      </c>
      <c r="T67" s="11" t="s">
        <v>87</v>
      </c>
      <c r="U67" s="11"/>
    </row>
    <row r="68" customFormat="false" ht="30.75" hidden="false" customHeight="true" outlineLevel="0" collapsed="false">
      <c r="A68" s="7" t="n">
        <v>67</v>
      </c>
      <c r="B68" s="7" t="s">
        <v>175</v>
      </c>
      <c r="C68" s="7" t="s">
        <v>61</v>
      </c>
      <c r="D68" s="7" t="s">
        <v>62</v>
      </c>
      <c r="E68" s="7" t="s">
        <v>176</v>
      </c>
      <c r="F68" s="7" t="s">
        <v>36</v>
      </c>
      <c r="G68" s="12" t="s">
        <v>187</v>
      </c>
      <c r="H68" s="7" t="s">
        <v>10</v>
      </c>
      <c r="I68" s="16" t="s">
        <v>188</v>
      </c>
      <c r="J68" s="9" t="n">
        <v>5</v>
      </c>
      <c r="K68" s="10" t="n">
        <f aca="false">IF(J68="","",J68)</f>
        <v>5</v>
      </c>
      <c r="L68" s="9" t="n">
        <v>4</v>
      </c>
      <c r="M68" s="10" t="n">
        <f aca="false">IF(L68="","",L68)</f>
        <v>4</v>
      </c>
      <c r="N68" s="9" t="n">
        <v>4</v>
      </c>
      <c r="O68" s="10" t="n">
        <f aca="false">IF(N68="","",N68)</f>
        <v>4</v>
      </c>
      <c r="P68" s="9" t="n">
        <v>5</v>
      </c>
      <c r="Q68" s="10" t="n">
        <f aca="false">IF(P68="","",P68)</f>
        <v>5</v>
      </c>
      <c r="R68" s="10" t="n">
        <f aca="false">IF(COUNTA(K68,M68,O68,Q68)=0,"",AVERAGE(K68,M68,O68,Q68))</f>
        <v>4.5</v>
      </c>
      <c r="S68" s="11" t="s">
        <v>39</v>
      </c>
      <c r="T68" s="11" t="s">
        <v>87</v>
      </c>
      <c r="U68" s="11"/>
    </row>
    <row r="69" customFormat="false" ht="30.75" hidden="false" customHeight="true" outlineLevel="0" collapsed="false">
      <c r="A69" s="7" t="n">
        <v>68</v>
      </c>
      <c r="B69" s="7" t="s">
        <v>175</v>
      </c>
      <c r="C69" s="7" t="s">
        <v>61</v>
      </c>
      <c r="D69" s="7" t="s">
        <v>62</v>
      </c>
      <c r="E69" s="7" t="s">
        <v>176</v>
      </c>
      <c r="F69" s="7" t="s">
        <v>36</v>
      </c>
      <c r="G69" s="12" t="s">
        <v>189</v>
      </c>
      <c r="H69" s="7" t="s">
        <v>10</v>
      </c>
      <c r="I69" s="12" t="s">
        <v>190</v>
      </c>
      <c r="J69" s="9" t="n">
        <v>5</v>
      </c>
      <c r="K69" s="10" t="n">
        <f aca="false">IF(J69="","",J69)</f>
        <v>5</v>
      </c>
      <c r="L69" s="9" t="n">
        <v>4</v>
      </c>
      <c r="M69" s="10" t="n">
        <f aca="false">IF(L69="","",L69)</f>
        <v>4</v>
      </c>
      <c r="N69" s="9" t="n">
        <v>4</v>
      </c>
      <c r="O69" s="10" t="n">
        <f aca="false">IF(N69="","",N69)</f>
        <v>4</v>
      </c>
      <c r="P69" s="9" t="n">
        <v>5</v>
      </c>
      <c r="Q69" s="10" t="n">
        <f aca="false">IF(P69="","",P69)</f>
        <v>5</v>
      </c>
      <c r="R69" s="10" t="n">
        <f aca="false">IF(COUNTA(K69,M69,O69,Q69)=0,"",AVERAGE(K69,M69,O69,Q69))</f>
        <v>4.5</v>
      </c>
      <c r="S69" s="11" t="s">
        <v>39</v>
      </c>
      <c r="T69" s="11" t="s">
        <v>87</v>
      </c>
      <c r="U69" s="11"/>
    </row>
    <row r="70" customFormat="false" ht="30.75" hidden="false" customHeight="true" outlineLevel="0" collapsed="false">
      <c r="A70" s="7" t="n">
        <v>69</v>
      </c>
      <c r="B70" s="7" t="s">
        <v>175</v>
      </c>
      <c r="C70" s="7" t="s">
        <v>61</v>
      </c>
      <c r="D70" s="7" t="s">
        <v>62</v>
      </c>
      <c r="E70" s="7" t="s">
        <v>176</v>
      </c>
      <c r="F70" s="7" t="s">
        <v>36</v>
      </c>
      <c r="G70" s="12" t="s">
        <v>191</v>
      </c>
      <c r="H70" s="7" t="s">
        <v>10</v>
      </c>
      <c r="I70" s="16" t="s">
        <v>192</v>
      </c>
      <c r="J70" s="9" t="n">
        <v>5</v>
      </c>
      <c r="K70" s="10" t="n">
        <f aca="false">IF(J70="","",J70)</f>
        <v>5</v>
      </c>
      <c r="L70" s="9" t="n">
        <v>4</v>
      </c>
      <c r="M70" s="10" t="n">
        <f aca="false">IF(L70="","",L70)</f>
        <v>4</v>
      </c>
      <c r="N70" s="9" t="n">
        <v>4</v>
      </c>
      <c r="O70" s="10" t="n">
        <f aca="false">IF(N70="","",N70)</f>
        <v>4</v>
      </c>
      <c r="P70" s="9" t="n">
        <v>5</v>
      </c>
      <c r="Q70" s="10" t="n">
        <f aca="false">IF(P70="","",P70)</f>
        <v>5</v>
      </c>
      <c r="R70" s="10" t="n">
        <f aca="false">IF(COUNTA(K70,M70,O70,Q70)=0,"",AVERAGE(K70,M70,O70,Q70))</f>
        <v>4.5</v>
      </c>
      <c r="S70" s="11" t="s">
        <v>39</v>
      </c>
      <c r="T70" s="11" t="s">
        <v>87</v>
      </c>
      <c r="U70" s="11"/>
    </row>
    <row r="71" customFormat="false" ht="30.75" hidden="false" customHeight="true" outlineLevel="0" collapsed="false">
      <c r="A71" s="7" t="n">
        <v>70</v>
      </c>
      <c r="B71" s="7" t="s">
        <v>175</v>
      </c>
      <c r="C71" s="7" t="s">
        <v>61</v>
      </c>
      <c r="D71" s="7" t="s">
        <v>62</v>
      </c>
      <c r="E71" s="7" t="s">
        <v>176</v>
      </c>
      <c r="F71" s="7" t="s">
        <v>36</v>
      </c>
      <c r="G71" s="12" t="s">
        <v>193</v>
      </c>
      <c r="H71" s="7" t="s">
        <v>10</v>
      </c>
      <c r="I71" s="17" t="s">
        <v>194</v>
      </c>
      <c r="J71" s="9" t="n">
        <v>5</v>
      </c>
      <c r="K71" s="10" t="n">
        <f aca="false">IF(J71="","",J71)</f>
        <v>5</v>
      </c>
      <c r="L71" s="9" t="n">
        <v>4</v>
      </c>
      <c r="M71" s="10" t="n">
        <f aca="false">IF(L71="","",L71)</f>
        <v>4</v>
      </c>
      <c r="N71" s="9" t="n">
        <v>4</v>
      </c>
      <c r="O71" s="10" t="n">
        <f aca="false">IF(N71="","",N71)</f>
        <v>4</v>
      </c>
      <c r="P71" s="9" t="n">
        <v>5</v>
      </c>
      <c r="Q71" s="10" t="n">
        <f aca="false">IF(P71="","",P71)</f>
        <v>5</v>
      </c>
      <c r="R71" s="10" t="n">
        <f aca="false">IF(COUNTA(K71,M71,O71,Q71)=0,"",AVERAGE(K71,M71,O71,Q71))</f>
        <v>4.5</v>
      </c>
      <c r="S71" s="11" t="s">
        <v>39</v>
      </c>
      <c r="T71" s="11" t="s">
        <v>87</v>
      </c>
      <c r="U71" s="11"/>
    </row>
    <row r="72" customFormat="false" ht="195.75" hidden="false" customHeight="true" outlineLevel="0" collapsed="false">
      <c r="A72" s="7" t="n">
        <v>71</v>
      </c>
      <c r="B72" s="7" t="s">
        <v>195</v>
      </c>
      <c r="C72" s="7" t="s">
        <v>196</v>
      </c>
      <c r="D72" s="7" t="s">
        <v>62</v>
      </c>
      <c r="E72" s="7" t="s">
        <v>197</v>
      </c>
      <c r="F72" s="7" t="s">
        <v>128</v>
      </c>
      <c r="G72" s="12" t="s">
        <v>198</v>
      </c>
      <c r="H72" s="7" t="s">
        <v>10</v>
      </c>
      <c r="I72" s="12" t="s">
        <v>199</v>
      </c>
      <c r="J72" s="9" t="n">
        <v>5</v>
      </c>
      <c r="K72" s="10" t="n">
        <f aca="false">IF(J72="","",J72)</f>
        <v>5</v>
      </c>
      <c r="L72" s="9" t="n">
        <v>5</v>
      </c>
      <c r="M72" s="10" t="n">
        <f aca="false">IF(L72="","",L72)</f>
        <v>5</v>
      </c>
      <c r="N72" s="9" t="n">
        <v>5</v>
      </c>
      <c r="O72" s="10" t="n">
        <f aca="false">IF(N72="","",N72)</f>
        <v>5</v>
      </c>
      <c r="P72" s="9" t="n">
        <v>5</v>
      </c>
      <c r="Q72" s="10" t="n">
        <f aca="false">IF(P72="","",P72)</f>
        <v>5</v>
      </c>
      <c r="R72" s="10" t="n">
        <f aca="false">IF(COUNTA(K72,M72,O72,Q72)=0,"",AVERAGE(K72,M72,O72,Q72))</f>
        <v>5</v>
      </c>
      <c r="S72" s="11" t="s">
        <v>39</v>
      </c>
      <c r="T72" s="11" t="s">
        <v>200</v>
      </c>
      <c r="U72" s="11"/>
    </row>
    <row r="73" customFormat="false" ht="135.75" hidden="false" customHeight="true" outlineLevel="0" collapsed="false">
      <c r="A73" s="7" t="n">
        <v>72</v>
      </c>
      <c r="B73" s="7" t="s">
        <v>195</v>
      </c>
      <c r="C73" s="7" t="s">
        <v>196</v>
      </c>
      <c r="D73" s="7" t="s">
        <v>62</v>
      </c>
      <c r="E73" s="7" t="s">
        <v>197</v>
      </c>
      <c r="F73" s="7" t="s">
        <v>128</v>
      </c>
      <c r="G73" s="12" t="s">
        <v>201</v>
      </c>
      <c r="H73" s="7" t="s">
        <v>10</v>
      </c>
      <c r="I73" s="12" t="s">
        <v>202</v>
      </c>
      <c r="J73" s="9" t="n">
        <v>5</v>
      </c>
      <c r="K73" s="10" t="n">
        <f aca="false">IF(J73="","",J73)</f>
        <v>5</v>
      </c>
      <c r="L73" s="9" t="n">
        <v>5</v>
      </c>
      <c r="M73" s="10" t="n">
        <f aca="false">IF(L73="","",L73)</f>
        <v>5</v>
      </c>
      <c r="N73" s="9" t="n">
        <v>5</v>
      </c>
      <c r="O73" s="10" t="n">
        <f aca="false">IF(N73="","",N73)</f>
        <v>5</v>
      </c>
      <c r="P73" s="9" t="n">
        <v>5</v>
      </c>
      <c r="Q73" s="10" t="n">
        <f aca="false">IF(P73="","",P73)</f>
        <v>5</v>
      </c>
      <c r="R73" s="10" t="n">
        <f aca="false">IF(COUNTA(K73,M73,O73,Q73)=0,"",AVERAGE(K73,M73,O73,Q73))</f>
        <v>5</v>
      </c>
      <c r="S73" s="11" t="s">
        <v>39</v>
      </c>
      <c r="T73" s="11" t="s">
        <v>200</v>
      </c>
      <c r="U73" s="11"/>
    </row>
    <row r="74" customFormat="false" ht="75.75" hidden="false" customHeight="true" outlineLevel="0" collapsed="false">
      <c r="A74" s="7" t="n">
        <v>73</v>
      </c>
      <c r="B74" s="7" t="s">
        <v>195</v>
      </c>
      <c r="C74" s="7" t="s">
        <v>196</v>
      </c>
      <c r="D74" s="7" t="s">
        <v>62</v>
      </c>
      <c r="E74" s="7" t="s">
        <v>197</v>
      </c>
      <c r="F74" s="7" t="s">
        <v>128</v>
      </c>
      <c r="G74" s="12" t="s">
        <v>203</v>
      </c>
      <c r="H74" s="7" t="s">
        <v>10</v>
      </c>
      <c r="I74" s="12" t="s">
        <v>204</v>
      </c>
      <c r="J74" s="9" t="n">
        <v>5</v>
      </c>
      <c r="K74" s="10" t="n">
        <f aca="false">IF(J74="","",J74)</f>
        <v>5</v>
      </c>
      <c r="L74" s="9" t="n">
        <v>5</v>
      </c>
      <c r="M74" s="10" t="n">
        <f aca="false">IF(L74="","",L74)</f>
        <v>5</v>
      </c>
      <c r="N74" s="9" t="n">
        <v>5</v>
      </c>
      <c r="O74" s="10" t="n">
        <f aca="false">IF(N74="","",N74)</f>
        <v>5</v>
      </c>
      <c r="P74" s="9" t="n">
        <v>5</v>
      </c>
      <c r="Q74" s="10" t="n">
        <f aca="false">IF(P74="","",P74)</f>
        <v>5</v>
      </c>
      <c r="R74" s="10" t="n">
        <f aca="false">IF(COUNTA(K74,M74,O74,Q74)=0,"",AVERAGE(K74,M74,O74,Q74))</f>
        <v>5</v>
      </c>
      <c r="S74" s="11" t="s">
        <v>39</v>
      </c>
      <c r="T74" s="11" t="s">
        <v>200</v>
      </c>
      <c r="U74" s="11"/>
    </row>
    <row r="75" customFormat="false" ht="390.75" hidden="false" customHeight="true" outlineLevel="0" collapsed="false">
      <c r="A75" s="7" t="n">
        <v>74</v>
      </c>
      <c r="B75" s="7" t="s">
        <v>195</v>
      </c>
      <c r="C75" s="7" t="s">
        <v>196</v>
      </c>
      <c r="D75" s="7" t="s">
        <v>62</v>
      </c>
      <c r="E75" s="7" t="s">
        <v>197</v>
      </c>
      <c r="F75" s="7" t="s">
        <v>128</v>
      </c>
      <c r="G75" s="12" t="s">
        <v>205</v>
      </c>
      <c r="H75" s="7" t="s">
        <v>10</v>
      </c>
      <c r="I75" s="12" t="s">
        <v>206</v>
      </c>
      <c r="J75" s="9" t="n">
        <v>5</v>
      </c>
      <c r="K75" s="10" t="n">
        <f aca="false">IF(J75="","",J75)</f>
        <v>5</v>
      </c>
      <c r="L75" s="9" t="n">
        <v>5</v>
      </c>
      <c r="M75" s="10" t="n">
        <f aca="false">IF(L75="","",L75)</f>
        <v>5</v>
      </c>
      <c r="N75" s="9" t="n">
        <v>5</v>
      </c>
      <c r="O75" s="10" t="n">
        <f aca="false">IF(N75="","",N75)</f>
        <v>5</v>
      </c>
      <c r="P75" s="9" t="n">
        <v>5</v>
      </c>
      <c r="Q75" s="10" t="n">
        <f aca="false">IF(P75="","",P75)</f>
        <v>5</v>
      </c>
      <c r="R75" s="10" t="n">
        <f aca="false">IF(COUNTA(K75,M75,O75,Q75)=0,"",AVERAGE(K75,M75,O75,Q75))</f>
        <v>5</v>
      </c>
      <c r="S75" s="11" t="s">
        <v>39</v>
      </c>
      <c r="T75" s="11" t="s">
        <v>200</v>
      </c>
      <c r="U75" s="11"/>
    </row>
    <row r="76" customFormat="false" ht="60.75" hidden="false" customHeight="true" outlineLevel="0" collapsed="false">
      <c r="A76" s="7" t="n">
        <v>75</v>
      </c>
      <c r="B76" s="7" t="s">
        <v>195</v>
      </c>
      <c r="C76" s="7" t="s">
        <v>196</v>
      </c>
      <c r="D76" s="7" t="s">
        <v>62</v>
      </c>
      <c r="E76" s="7" t="s">
        <v>197</v>
      </c>
      <c r="F76" s="7" t="s">
        <v>128</v>
      </c>
      <c r="G76" s="12" t="s">
        <v>207</v>
      </c>
      <c r="H76" s="7" t="s">
        <v>10</v>
      </c>
      <c r="I76" s="12" t="s">
        <v>208</v>
      </c>
      <c r="J76" s="9" t="n">
        <v>5</v>
      </c>
      <c r="K76" s="10" t="n">
        <f aca="false">IF(J76="","",J76)</f>
        <v>5</v>
      </c>
      <c r="L76" s="9" t="n">
        <v>5</v>
      </c>
      <c r="M76" s="10" t="n">
        <f aca="false">IF(L76="","",L76)</f>
        <v>5</v>
      </c>
      <c r="N76" s="9" t="n">
        <v>5</v>
      </c>
      <c r="O76" s="10" t="n">
        <f aca="false">IF(N76="","",N76)</f>
        <v>5</v>
      </c>
      <c r="P76" s="9" t="n">
        <v>5</v>
      </c>
      <c r="Q76" s="10" t="n">
        <f aca="false">IF(P76="","",P76)</f>
        <v>5</v>
      </c>
      <c r="R76" s="10" t="n">
        <f aca="false">IF(COUNTA(K76,M76,O76,Q76)=0,"",AVERAGE(K76,M76,O76,Q76))</f>
        <v>5</v>
      </c>
      <c r="S76" s="11" t="s">
        <v>39</v>
      </c>
      <c r="T76" s="11" t="s">
        <v>155</v>
      </c>
      <c r="U76" s="11"/>
    </row>
    <row r="77" customFormat="false" ht="120.75" hidden="false" customHeight="true" outlineLevel="0" collapsed="false">
      <c r="A77" s="7" t="n">
        <v>76</v>
      </c>
      <c r="B77" s="7" t="s">
        <v>195</v>
      </c>
      <c r="C77" s="7" t="s">
        <v>196</v>
      </c>
      <c r="D77" s="7" t="s">
        <v>62</v>
      </c>
      <c r="E77" s="7" t="s">
        <v>197</v>
      </c>
      <c r="F77" s="7" t="s">
        <v>128</v>
      </c>
      <c r="G77" s="12" t="s">
        <v>209</v>
      </c>
      <c r="H77" s="7" t="s">
        <v>10</v>
      </c>
      <c r="I77" s="12" t="s">
        <v>210</v>
      </c>
      <c r="J77" s="9" t="n">
        <v>5</v>
      </c>
      <c r="K77" s="10" t="n">
        <f aca="false">IF(J77="","",J77)</f>
        <v>5</v>
      </c>
      <c r="L77" s="9" t="n">
        <v>5</v>
      </c>
      <c r="M77" s="10" t="n">
        <f aca="false">IF(L77="","",L77)</f>
        <v>5</v>
      </c>
      <c r="N77" s="9" t="n">
        <v>5</v>
      </c>
      <c r="O77" s="10" t="n">
        <f aca="false">IF(N77="","",N77)</f>
        <v>5</v>
      </c>
      <c r="P77" s="9" t="n">
        <v>5</v>
      </c>
      <c r="Q77" s="10" t="n">
        <f aca="false">IF(P77="","",P77)</f>
        <v>5</v>
      </c>
      <c r="R77" s="10" t="n">
        <f aca="false">IF(COUNTA(K77,M77,O77,Q77)=0,"",AVERAGE(K77,M77,O77,Q77))</f>
        <v>5</v>
      </c>
      <c r="S77" s="11" t="s">
        <v>39</v>
      </c>
      <c r="T77" s="11" t="s">
        <v>200</v>
      </c>
      <c r="U77" s="11"/>
    </row>
    <row r="78" customFormat="false" ht="90.75" hidden="false" customHeight="true" outlineLevel="0" collapsed="false">
      <c r="A78" s="7" t="n">
        <v>77</v>
      </c>
      <c r="B78" s="7" t="s">
        <v>195</v>
      </c>
      <c r="C78" s="7" t="s">
        <v>196</v>
      </c>
      <c r="D78" s="7" t="s">
        <v>62</v>
      </c>
      <c r="E78" s="7" t="s">
        <v>197</v>
      </c>
      <c r="F78" s="7" t="s">
        <v>128</v>
      </c>
      <c r="G78" s="12" t="s">
        <v>211</v>
      </c>
      <c r="H78" s="7" t="s">
        <v>10</v>
      </c>
      <c r="I78" s="12" t="s">
        <v>212</v>
      </c>
      <c r="J78" s="9" t="n">
        <v>5</v>
      </c>
      <c r="K78" s="10" t="n">
        <f aca="false">IF(J78="","",J78)</f>
        <v>5</v>
      </c>
      <c r="L78" s="9" t="n">
        <v>5</v>
      </c>
      <c r="M78" s="10" t="n">
        <f aca="false">IF(L78="","",L78)</f>
        <v>5</v>
      </c>
      <c r="N78" s="9" t="n">
        <v>5</v>
      </c>
      <c r="O78" s="10" t="n">
        <f aca="false">IF(N78="","",N78)</f>
        <v>5</v>
      </c>
      <c r="P78" s="9" t="n">
        <v>5</v>
      </c>
      <c r="Q78" s="10" t="n">
        <f aca="false">IF(P78="","",P78)</f>
        <v>5</v>
      </c>
      <c r="R78" s="10" t="n">
        <f aca="false">IF(COUNTA(K78,M78,O78,Q78)=0,"",AVERAGE(K78,M78,O78,Q78))</f>
        <v>5</v>
      </c>
      <c r="S78" s="11" t="s">
        <v>39</v>
      </c>
      <c r="T78" s="11" t="s">
        <v>200</v>
      </c>
      <c r="U78" s="11"/>
    </row>
    <row r="79" customFormat="false" ht="240.75" hidden="false" customHeight="true" outlineLevel="0" collapsed="false">
      <c r="A79" s="7" t="n">
        <v>78</v>
      </c>
      <c r="B79" s="7" t="s">
        <v>195</v>
      </c>
      <c r="C79" s="7" t="s">
        <v>196</v>
      </c>
      <c r="D79" s="7" t="s">
        <v>62</v>
      </c>
      <c r="E79" s="7" t="s">
        <v>197</v>
      </c>
      <c r="F79" s="7" t="s">
        <v>128</v>
      </c>
      <c r="G79" s="12" t="s">
        <v>213</v>
      </c>
      <c r="H79" s="7" t="s">
        <v>10</v>
      </c>
      <c r="I79" s="12" t="s">
        <v>214</v>
      </c>
      <c r="J79" s="9" t="n">
        <v>5</v>
      </c>
      <c r="K79" s="10" t="n">
        <f aca="false">IF(J79="","",J79)</f>
        <v>5</v>
      </c>
      <c r="L79" s="9" t="n">
        <v>5</v>
      </c>
      <c r="M79" s="10" t="n">
        <f aca="false">IF(L79="","",L79)</f>
        <v>5</v>
      </c>
      <c r="N79" s="9" t="n">
        <v>5</v>
      </c>
      <c r="O79" s="10" t="n">
        <f aca="false">IF(N79="","",N79)</f>
        <v>5</v>
      </c>
      <c r="P79" s="9" t="n">
        <v>5</v>
      </c>
      <c r="Q79" s="10" t="n">
        <f aca="false">IF(P79="","",P79)</f>
        <v>5</v>
      </c>
      <c r="R79" s="10" t="n">
        <f aca="false">IF(COUNTA(K79,M79,O79,Q79)=0,"",AVERAGE(K79,M79,O79,Q79))</f>
        <v>5</v>
      </c>
      <c r="S79" s="11" t="s">
        <v>39</v>
      </c>
      <c r="T79" s="11" t="s">
        <v>94</v>
      </c>
      <c r="U79" s="11"/>
    </row>
    <row r="80" customFormat="false" ht="60.75" hidden="false" customHeight="true" outlineLevel="0" collapsed="false">
      <c r="A80" s="7" t="n">
        <v>79</v>
      </c>
      <c r="B80" s="7" t="s">
        <v>195</v>
      </c>
      <c r="C80" s="7" t="s">
        <v>196</v>
      </c>
      <c r="D80" s="7" t="s">
        <v>62</v>
      </c>
      <c r="E80" s="7" t="s">
        <v>197</v>
      </c>
      <c r="F80" s="7" t="s">
        <v>128</v>
      </c>
      <c r="G80" s="12" t="s">
        <v>215</v>
      </c>
      <c r="H80" s="7" t="s">
        <v>10</v>
      </c>
      <c r="I80" s="12" t="s">
        <v>216</v>
      </c>
      <c r="J80" s="9" t="n">
        <v>5</v>
      </c>
      <c r="K80" s="10" t="n">
        <f aca="false">IF(J80="","",J80)</f>
        <v>5</v>
      </c>
      <c r="L80" s="9" t="n">
        <v>5</v>
      </c>
      <c r="M80" s="10" t="n">
        <f aca="false">IF(L80="","",L80)</f>
        <v>5</v>
      </c>
      <c r="N80" s="9" t="n">
        <v>5</v>
      </c>
      <c r="O80" s="10" t="n">
        <f aca="false">IF(N80="","",N80)</f>
        <v>5</v>
      </c>
      <c r="P80" s="9" t="n">
        <v>5</v>
      </c>
      <c r="Q80" s="10" t="n">
        <f aca="false">IF(P80="","",P80)</f>
        <v>5</v>
      </c>
      <c r="R80" s="10" t="n">
        <f aca="false">IF(COUNTA(K80,M80,O80,Q80)=0,"",AVERAGE(K80,M80,O80,Q80))</f>
        <v>5</v>
      </c>
      <c r="S80" s="11" t="s">
        <v>39</v>
      </c>
      <c r="T80" s="11" t="s">
        <v>200</v>
      </c>
      <c r="U80" s="11"/>
    </row>
    <row r="81" customFormat="false" ht="45.75" hidden="false" customHeight="true" outlineLevel="0" collapsed="false">
      <c r="A81" s="7" t="n">
        <v>80</v>
      </c>
      <c r="B81" s="7" t="s">
        <v>195</v>
      </c>
      <c r="C81" s="7" t="s">
        <v>196</v>
      </c>
      <c r="D81" s="7" t="s">
        <v>62</v>
      </c>
      <c r="E81" s="7" t="s">
        <v>197</v>
      </c>
      <c r="F81" s="7" t="s">
        <v>128</v>
      </c>
      <c r="G81" s="12" t="s">
        <v>217</v>
      </c>
      <c r="H81" s="7" t="s">
        <v>10</v>
      </c>
      <c r="I81" s="12" t="s">
        <v>218</v>
      </c>
      <c r="J81" s="9" t="n">
        <v>5</v>
      </c>
      <c r="K81" s="10" t="n">
        <f aca="false">IF(J81="","",J81)</f>
        <v>5</v>
      </c>
      <c r="L81" s="9" t="n">
        <v>5</v>
      </c>
      <c r="M81" s="10" t="n">
        <f aca="false">IF(L81="","",L81)</f>
        <v>5</v>
      </c>
      <c r="N81" s="9" t="n">
        <v>5</v>
      </c>
      <c r="O81" s="10" t="n">
        <f aca="false">IF(N81="","",N81)</f>
        <v>5</v>
      </c>
      <c r="P81" s="9" t="n">
        <v>5</v>
      </c>
      <c r="Q81" s="10" t="n">
        <f aca="false">IF(P81="","",P81)</f>
        <v>5</v>
      </c>
      <c r="R81" s="10" t="n">
        <f aca="false">IF(COUNTA(K81,M81,O81,Q81)=0,"",AVERAGE(K81,M81,O81,Q81))</f>
        <v>5</v>
      </c>
      <c r="S81" s="11" t="s">
        <v>39</v>
      </c>
      <c r="T81" s="11" t="s">
        <v>200</v>
      </c>
      <c r="U81" s="11"/>
    </row>
    <row r="82" customFormat="false" ht="60.75" hidden="false" customHeight="true" outlineLevel="0" collapsed="false">
      <c r="A82" s="7" t="n">
        <v>81</v>
      </c>
      <c r="B82" s="7" t="s">
        <v>219</v>
      </c>
      <c r="C82" s="7" t="s">
        <v>220</v>
      </c>
      <c r="D82" s="7" t="s">
        <v>62</v>
      </c>
      <c r="E82" s="7" t="s">
        <v>221</v>
      </c>
      <c r="F82" s="7" t="s">
        <v>128</v>
      </c>
      <c r="G82" s="12" t="s">
        <v>222</v>
      </c>
      <c r="H82" s="7" t="s">
        <v>10</v>
      </c>
      <c r="I82" s="12" t="s">
        <v>223</v>
      </c>
      <c r="J82" s="9" t="n">
        <v>5</v>
      </c>
      <c r="K82" s="10" t="n">
        <f aca="false">IF(J82="","",J82)</f>
        <v>5</v>
      </c>
      <c r="L82" s="9" t="n">
        <v>5</v>
      </c>
      <c r="M82" s="10" t="n">
        <f aca="false">IF(L82="","",L82)</f>
        <v>5</v>
      </c>
      <c r="N82" s="9" t="n">
        <v>5</v>
      </c>
      <c r="O82" s="10" t="n">
        <f aca="false">IF(N82="","",N82)</f>
        <v>5</v>
      </c>
      <c r="P82" s="9" t="n">
        <v>5</v>
      </c>
      <c r="Q82" s="10" t="n">
        <f aca="false">IF(P82="","",P82)</f>
        <v>5</v>
      </c>
      <c r="R82" s="10" t="n">
        <f aca="false">IF(COUNTA(K82,M82,O82,Q82)=0,"",AVERAGE(K82,M82,O82,Q82))</f>
        <v>5</v>
      </c>
      <c r="S82" s="11" t="s">
        <v>39</v>
      </c>
      <c r="T82" s="11" t="s">
        <v>224</v>
      </c>
      <c r="U82" s="11"/>
    </row>
    <row r="83" customFormat="false" ht="45.75" hidden="false" customHeight="true" outlineLevel="0" collapsed="false">
      <c r="A83" s="7" t="n">
        <v>82</v>
      </c>
      <c r="B83" s="7" t="s">
        <v>219</v>
      </c>
      <c r="C83" s="7" t="s">
        <v>220</v>
      </c>
      <c r="D83" s="7" t="s">
        <v>62</v>
      </c>
      <c r="E83" s="7" t="s">
        <v>221</v>
      </c>
      <c r="F83" s="7" t="s">
        <v>128</v>
      </c>
      <c r="G83" s="12" t="s">
        <v>225</v>
      </c>
      <c r="H83" s="7" t="s">
        <v>10</v>
      </c>
      <c r="I83" s="12" t="s">
        <v>226</v>
      </c>
      <c r="J83" s="9" t="n">
        <v>5</v>
      </c>
      <c r="K83" s="10" t="n">
        <f aca="false">IF(J83="","",J83)</f>
        <v>5</v>
      </c>
      <c r="L83" s="9" t="n">
        <v>5</v>
      </c>
      <c r="M83" s="10" t="n">
        <f aca="false">IF(L83="","",L83)</f>
        <v>5</v>
      </c>
      <c r="N83" s="9" t="n">
        <v>5</v>
      </c>
      <c r="O83" s="10" t="n">
        <f aca="false">IF(N83="","",N83)</f>
        <v>5</v>
      </c>
      <c r="P83" s="9" t="n">
        <v>5</v>
      </c>
      <c r="Q83" s="10" t="n">
        <f aca="false">IF(P83="","",P83)</f>
        <v>5</v>
      </c>
      <c r="R83" s="10" t="n">
        <f aca="false">IF(COUNTA(K83,M83,O83,Q83)=0,"",AVERAGE(K83,M83,O83,Q83))</f>
        <v>5</v>
      </c>
      <c r="S83" s="11" t="s">
        <v>39</v>
      </c>
      <c r="T83" s="11" t="s">
        <v>224</v>
      </c>
      <c r="U83" s="11"/>
    </row>
    <row r="84" customFormat="false" ht="45.75" hidden="false" customHeight="true" outlineLevel="0" collapsed="false">
      <c r="A84" s="7" t="n">
        <v>83</v>
      </c>
      <c r="B84" s="7" t="s">
        <v>219</v>
      </c>
      <c r="C84" s="7" t="s">
        <v>220</v>
      </c>
      <c r="D84" s="7" t="s">
        <v>62</v>
      </c>
      <c r="E84" s="7" t="s">
        <v>221</v>
      </c>
      <c r="F84" s="7" t="s">
        <v>128</v>
      </c>
      <c r="G84" s="12" t="s">
        <v>227</v>
      </c>
      <c r="H84" s="7" t="s">
        <v>10</v>
      </c>
      <c r="I84" s="12" t="s">
        <v>228</v>
      </c>
      <c r="J84" s="9" t="n">
        <v>5</v>
      </c>
      <c r="K84" s="10" t="n">
        <f aca="false">IF(J84="","",J84)</f>
        <v>5</v>
      </c>
      <c r="L84" s="9" t="n">
        <v>5</v>
      </c>
      <c r="M84" s="10" t="n">
        <f aca="false">IF(L84="","",L84)</f>
        <v>5</v>
      </c>
      <c r="N84" s="9" t="n">
        <v>5</v>
      </c>
      <c r="O84" s="10" t="n">
        <f aca="false">IF(N84="","",N84)</f>
        <v>5</v>
      </c>
      <c r="P84" s="9" t="n">
        <v>5</v>
      </c>
      <c r="Q84" s="10" t="n">
        <f aca="false">IF(P84="","",P84)</f>
        <v>5</v>
      </c>
      <c r="R84" s="10" t="n">
        <f aca="false">IF(COUNTA(K84,M84,O84,Q84)=0,"",AVERAGE(K84,M84,O84,Q84))</f>
        <v>5</v>
      </c>
      <c r="S84" s="11" t="s">
        <v>39</v>
      </c>
      <c r="T84" s="11" t="s">
        <v>224</v>
      </c>
      <c r="U84" s="11"/>
    </row>
    <row r="85" customFormat="false" ht="60.75" hidden="false" customHeight="true" outlineLevel="0" collapsed="false">
      <c r="A85" s="7" t="n">
        <v>84</v>
      </c>
      <c r="B85" s="7" t="s">
        <v>219</v>
      </c>
      <c r="C85" s="7" t="s">
        <v>220</v>
      </c>
      <c r="D85" s="7" t="s">
        <v>62</v>
      </c>
      <c r="E85" s="7" t="s">
        <v>221</v>
      </c>
      <c r="F85" s="7" t="s">
        <v>128</v>
      </c>
      <c r="G85" s="12" t="s">
        <v>229</v>
      </c>
      <c r="H85" s="7" t="s">
        <v>10</v>
      </c>
      <c r="I85" s="12" t="s">
        <v>230</v>
      </c>
      <c r="J85" s="9" t="n">
        <v>5</v>
      </c>
      <c r="K85" s="10" t="n">
        <f aca="false">IF(J85="","",J85)</f>
        <v>5</v>
      </c>
      <c r="L85" s="9" t="n">
        <v>5</v>
      </c>
      <c r="M85" s="10" t="n">
        <f aca="false">IF(L85="","",L85)</f>
        <v>5</v>
      </c>
      <c r="N85" s="9" t="n">
        <v>5</v>
      </c>
      <c r="O85" s="10" t="n">
        <f aca="false">IF(N85="","",N85)</f>
        <v>5</v>
      </c>
      <c r="P85" s="9" t="n">
        <v>5</v>
      </c>
      <c r="Q85" s="10" t="n">
        <f aca="false">IF(P85="","",P85)</f>
        <v>5</v>
      </c>
      <c r="R85" s="10" t="n">
        <f aca="false">IF(COUNTA(K85,M85,O85,Q85)=0,"",AVERAGE(K85,M85,O85,Q85))</f>
        <v>5</v>
      </c>
      <c r="S85" s="11" t="s">
        <v>39</v>
      </c>
      <c r="T85" s="11" t="s">
        <v>224</v>
      </c>
      <c r="U85" s="11"/>
    </row>
    <row r="86" customFormat="false" ht="45.75" hidden="false" customHeight="true" outlineLevel="0" collapsed="false">
      <c r="A86" s="7" t="n">
        <v>85</v>
      </c>
      <c r="B86" s="7" t="s">
        <v>219</v>
      </c>
      <c r="C86" s="7" t="s">
        <v>220</v>
      </c>
      <c r="D86" s="7" t="s">
        <v>62</v>
      </c>
      <c r="E86" s="7" t="s">
        <v>221</v>
      </c>
      <c r="F86" s="7" t="s">
        <v>128</v>
      </c>
      <c r="G86" s="12" t="s">
        <v>231</v>
      </c>
      <c r="H86" s="7" t="s">
        <v>10</v>
      </c>
      <c r="I86" s="12" t="s">
        <v>232</v>
      </c>
      <c r="J86" s="9" t="n">
        <v>5</v>
      </c>
      <c r="K86" s="10" t="n">
        <f aca="false">IF(J86="","",J86)</f>
        <v>5</v>
      </c>
      <c r="L86" s="9" t="n">
        <v>5</v>
      </c>
      <c r="M86" s="10" t="n">
        <f aca="false">IF(L86="","",L86)</f>
        <v>5</v>
      </c>
      <c r="N86" s="9" t="n">
        <v>5</v>
      </c>
      <c r="O86" s="10" t="n">
        <f aca="false">IF(N86="","",N86)</f>
        <v>5</v>
      </c>
      <c r="P86" s="9" t="n">
        <v>5</v>
      </c>
      <c r="Q86" s="10" t="n">
        <f aca="false">IF(P86="","",P86)</f>
        <v>5</v>
      </c>
      <c r="R86" s="10" t="n">
        <f aca="false">IF(COUNTA(K86,M86,O86,Q86)=0,"",AVERAGE(K86,M86,O86,Q86))</f>
        <v>5</v>
      </c>
      <c r="S86" s="11" t="s">
        <v>39</v>
      </c>
      <c r="T86" s="11" t="s">
        <v>224</v>
      </c>
      <c r="U86" s="11"/>
    </row>
    <row r="87" customFormat="false" ht="30.75" hidden="false" customHeight="true" outlineLevel="0" collapsed="false">
      <c r="A87" s="7" t="n">
        <v>86</v>
      </c>
      <c r="B87" s="7" t="s">
        <v>219</v>
      </c>
      <c r="C87" s="7" t="s">
        <v>220</v>
      </c>
      <c r="D87" s="7" t="s">
        <v>62</v>
      </c>
      <c r="E87" s="7" t="s">
        <v>221</v>
      </c>
      <c r="F87" s="7" t="s">
        <v>128</v>
      </c>
      <c r="G87" s="12" t="s">
        <v>233</v>
      </c>
      <c r="H87" s="7" t="s">
        <v>10</v>
      </c>
      <c r="I87" s="12" t="s">
        <v>234</v>
      </c>
      <c r="J87" s="9" t="n">
        <v>5</v>
      </c>
      <c r="K87" s="10" t="n">
        <f aca="false">IF(J87="","",J87)</f>
        <v>5</v>
      </c>
      <c r="L87" s="9" t="n">
        <v>5</v>
      </c>
      <c r="M87" s="10" t="n">
        <f aca="false">IF(L87="","",L87)</f>
        <v>5</v>
      </c>
      <c r="N87" s="9" t="n">
        <v>5</v>
      </c>
      <c r="O87" s="10" t="n">
        <f aca="false">IF(N87="","",N87)</f>
        <v>5</v>
      </c>
      <c r="P87" s="9" t="n">
        <v>5</v>
      </c>
      <c r="Q87" s="10" t="n">
        <f aca="false">IF(P87="","",P87)</f>
        <v>5</v>
      </c>
      <c r="R87" s="10" t="n">
        <f aca="false">IF(COUNTA(K87,M87,O87,Q87)=0,"",AVERAGE(K87,M87,O87,Q87))</f>
        <v>5</v>
      </c>
      <c r="S87" s="11" t="s">
        <v>39</v>
      </c>
      <c r="T87" s="11" t="s">
        <v>224</v>
      </c>
      <c r="U87" s="11"/>
    </row>
    <row r="88" customFormat="false" ht="45.75" hidden="false" customHeight="true" outlineLevel="0" collapsed="false">
      <c r="A88" s="7" t="n">
        <v>87</v>
      </c>
      <c r="B88" s="7" t="s">
        <v>219</v>
      </c>
      <c r="C88" s="7" t="s">
        <v>220</v>
      </c>
      <c r="D88" s="7" t="s">
        <v>62</v>
      </c>
      <c r="E88" s="7" t="s">
        <v>221</v>
      </c>
      <c r="F88" s="7" t="s">
        <v>128</v>
      </c>
      <c r="G88" s="12" t="s">
        <v>235</v>
      </c>
      <c r="H88" s="7" t="s">
        <v>10</v>
      </c>
      <c r="I88" s="12" t="s">
        <v>236</v>
      </c>
      <c r="J88" s="9" t="n">
        <v>5</v>
      </c>
      <c r="K88" s="10" t="n">
        <f aca="false">IF(J88="","",J88)</f>
        <v>5</v>
      </c>
      <c r="L88" s="9" t="n">
        <v>5</v>
      </c>
      <c r="M88" s="10" t="n">
        <f aca="false">IF(L88="","",L88)</f>
        <v>5</v>
      </c>
      <c r="N88" s="9" t="n">
        <v>5</v>
      </c>
      <c r="O88" s="10" t="n">
        <f aca="false">IF(N88="","",N88)</f>
        <v>5</v>
      </c>
      <c r="P88" s="9" t="n">
        <v>5</v>
      </c>
      <c r="Q88" s="10" t="n">
        <f aca="false">IF(P88="","",P88)</f>
        <v>5</v>
      </c>
      <c r="R88" s="10" t="n">
        <f aca="false">IF(COUNTA(K88,M88,O88,Q88)=0,"",AVERAGE(K88,M88,O88,Q88))</f>
        <v>5</v>
      </c>
      <c r="S88" s="11" t="s">
        <v>39</v>
      </c>
      <c r="T88" s="11" t="s">
        <v>224</v>
      </c>
      <c r="U88" s="11"/>
    </row>
    <row r="89" customFormat="false" ht="60.75" hidden="false" customHeight="true" outlineLevel="0" collapsed="false">
      <c r="A89" s="7" t="n">
        <v>88</v>
      </c>
      <c r="B89" s="7" t="s">
        <v>219</v>
      </c>
      <c r="C89" s="7" t="s">
        <v>220</v>
      </c>
      <c r="D89" s="7" t="s">
        <v>62</v>
      </c>
      <c r="E89" s="7" t="s">
        <v>221</v>
      </c>
      <c r="F89" s="7" t="s">
        <v>128</v>
      </c>
      <c r="G89" s="12" t="s">
        <v>237</v>
      </c>
      <c r="H89" s="7" t="s">
        <v>10</v>
      </c>
      <c r="I89" s="12" t="s">
        <v>238</v>
      </c>
      <c r="J89" s="9" t="n">
        <v>5</v>
      </c>
      <c r="K89" s="10" t="n">
        <f aca="false">IF(J89="","",J89)</f>
        <v>5</v>
      </c>
      <c r="L89" s="9" t="n">
        <v>5</v>
      </c>
      <c r="M89" s="10" t="n">
        <f aca="false">IF(L89="","",L89)</f>
        <v>5</v>
      </c>
      <c r="N89" s="9" t="n">
        <v>5</v>
      </c>
      <c r="O89" s="10" t="n">
        <f aca="false">IF(N89="","",N89)</f>
        <v>5</v>
      </c>
      <c r="P89" s="9" t="n">
        <v>5</v>
      </c>
      <c r="Q89" s="10" t="n">
        <f aca="false">IF(P89="","",P89)</f>
        <v>5</v>
      </c>
      <c r="R89" s="10" t="n">
        <f aca="false">IF(COUNTA(K89,M89,O89,Q89)=0,"",AVERAGE(K89,M89,O89,Q89))</f>
        <v>5</v>
      </c>
      <c r="S89" s="11" t="s">
        <v>39</v>
      </c>
      <c r="T89" s="11" t="s">
        <v>224</v>
      </c>
      <c r="U89" s="11"/>
    </row>
    <row r="90" customFormat="false" ht="30.75" hidden="false" customHeight="true" outlineLevel="0" collapsed="false">
      <c r="A90" s="7" t="n">
        <v>89</v>
      </c>
      <c r="B90" s="7" t="s">
        <v>219</v>
      </c>
      <c r="C90" s="7" t="s">
        <v>220</v>
      </c>
      <c r="D90" s="7" t="s">
        <v>62</v>
      </c>
      <c r="E90" s="7" t="s">
        <v>221</v>
      </c>
      <c r="F90" s="7" t="s">
        <v>128</v>
      </c>
      <c r="G90" s="12" t="s">
        <v>239</v>
      </c>
      <c r="H90" s="7" t="s">
        <v>10</v>
      </c>
      <c r="I90" s="12" t="s">
        <v>240</v>
      </c>
      <c r="J90" s="9" t="n">
        <v>5</v>
      </c>
      <c r="K90" s="10" t="n">
        <f aca="false">IF(J90="","",J90)</f>
        <v>5</v>
      </c>
      <c r="L90" s="9" t="n">
        <v>5</v>
      </c>
      <c r="M90" s="10" t="n">
        <f aca="false">IF(L90="","",L90)</f>
        <v>5</v>
      </c>
      <c r="N90" s="9" t="n">
        <v>5</v>
      </c>
      <c r="O90" s="10" t="n">
        <f aca="false">IF(N90="","",N90)</f>
        <v>5</v>
      </c>
      <c r="P90" s="9" t="n">
        <v>5</v>
      </c>
      <c r="Q90" s="10" t="n">
        <f aca="false">IF(P90="","",P90)</f>
        <v>5</v>
      </c>
      <c r="R90" s="10" t="n">
        <f aca="false">IF(COUNTA(K90,M90,O90,Q90)=0,"",AVERAGE(K90,M90,O90,Q90))</f>
        <v>5</v>
      </c>
      <c r="S90" s="11" t="s">
        <v>39</v>
      </c>
      <c r="T90" s="11" t="s">
        <v>224</v>
      </c>
      <c r="U90" s="11"/>
    </row>
    <row r="91" customFormat="false" ht="45.75" hidden="false" customHeight="true" outlineLevel="0" collapsed="false">
      <c r="A91" s="7" t="n">
        <v>90</v>
      </c>
      <c r="B91" s="7" t="s">
        <v>219</v>
      </c>
      <c r="C91" s="7" t="s">
        <v>220</v>
      </c>
      <c r="D91" s="7" t="s">
        <v>62</v>
      </c>
      <c r="E91" s="7" t="s">
        <v>221</v>
      </c>
      <c r="F91" s="7" t="s">
        <v>128</v>
      </c>
      <c r="G91" s="12" t="s">
        <v>241</v>
      </c>
      <c r="H91" s="7" t="s">
        <v>10</v>
      </c>
      <c r="I91" s="12" t="s">
        <v>242</v>
      </c>
      <c r="J91" s="9" t="n">
        <v>5</v>
      </c>
      <c r="K91" s="10" t="n">
        <f aca="false">IF(J91="","",J91)</f>
        <v>5</v>
      </c>
      <c r="L91" s="9" t="n">
        <v>5</v>
      </c>
      <c r="M91" s="10" t="n">
        <f aca="false">IF(L91="","",L91)</f>
        <v>5</v>
      </c>
      <c r="N91" s="9" t="n">
        <v>5</v>
      </c>
      <c r="O91" s="10" t="n">
        <f aca="false">IF(N91="","",N91)</f>
        <v>5</v>
      </c>
      <c r="P91" s="9" t="n">
        <v>5</v>
      </c>
      <c r="Q91" s="10" t="n">
        <f aca="false">IF(P91="","",P91)</f>
        <v>5</v>
      </c>
      <c r="R91" s="10" t="n">
        <f aca="false">IF(COUNTA(K91,M91,O91,Q91)=0,"",AVERAGE(K91,M91,O91,Q91))</f>
        <v>5</v>
      </c>
      <c r="S91" s="11" t="s">
        <v>39</v>
      </c>
      <c r="T91" s="11" t="s">
        <v>224</v>
      </c>
      <c r="U91" s="11"/>
    </row>
    <row r="92" customFormat="false" ht="45.75" hidden="false" customHeight="true" outlineLevel="0" collapsed="false">
      <c r="A92" s="7" t="n">
        <v>91</v>
      </c>
      <c r="B92" s="7" t="s">
        <v>243</v>
      </c>
      <c r="C92" s="7" t="s">
        <v>244</v>
      </c>
      <c r="D92" s="7" t="s">
        <v>245</v>
      </c>
      <c r="E92" s="7" t="s">
        <v>246</v>
      </c>
      <c r="F92" s="7" t="s">
        <v>128</v>
      </c>
      <c r="G92" s="12" t="s">
        <v>247</v>
      </c>
      <c r="H92" s="7" t="s">
        <v>10</v>
      </c>
      <c r="I92" s="12" t="s">
        <v>248</v>
      </c>
      <c r="J92" s="9" t="n">
        <v>5</v>
      </c>
      <c r="K92" s="10" t="n">
        <f aca="false">IF(J92="","",J92)</f>
        <v>5</v>
      </c>
      <c r="L92" s="9" t="n">
        <v>5</v>
      </c>
      <c r="M92" s="10" t="n">
        <f aca="false">IF(L92="","",L92)</f>
        <v>5</v>
      </c>
      <c r="N92" s="9" t="n">
        <v>5</v>
      </c>
      <c r="O92" s="10" t="n">
        <f aca="false">IF(N92="","",N92)</f>
        <v>5</v>
      </c>
      <c r="P92" s="9" t="n">
        <v>5</v>
      </c>
      <c r="Q92" s="10" t="n">
        <f aca="false">IF(P92="","",P92)</f>
        <v>5</v>
      </c>
      <c r="R92" s="10" t="n">
        <f aca="false">IF(COUNTA(K92,M92,O92,Q92)=0,"",AVERAGE(K92,M92,O92,Q92))</f>
        <v>5</v>
      </c>
      <c r="S92" s="11" t="s">
        <v>39</v>
      </c>
      <c r="T92" s="11" t="s">
        <v>249</v>
      </c>
      <c r="U92" s="11"/>
    </row>
    <row r="93" customFormat="false" ht="75.75" hidden="false" customHeight="true" outlineLevel="0" collapsed="false">
      <c r="A93" s="7" t="n">
        <v>92</v>
      </c>
      <c r="B93" s="7" t="s">
        <v>243</v>
      </c>
      <c r="C93" s="7" t="s">
        <v>244</v>
      </c>
      <c r="D93" s="7" t="s">
        <v>245</v>
      </c>
      <c r="E93" s="7" t="s">
        <v>246</v>
      </c>
      <c r="F93" s="7" t="s">
        <v>128</v>
      </c>
      <c r="G93" s="12" t="s">
        <v>250</v>
      </c>
      <c r="H93" s="7" t="s">
        <v>10</v>
      </c>
      <c r="I93" s="12" t="s">
        <v>251</v>
      </c>
      <c r="J93" s="9" t="n">
        <v>5</v>
      </c>
      <c r="K93" s="10" t="n">
        <f aca="false">IF(J93="","",J93)</f>
        <v>5</v>
      </c>
      <c r="L93" s="9" t="n">
        <v>5</v>
      </c>
      <c r="M93" s="10" t="n">
        <f aca="false">IF(L93="","",L93)</f>
        <v>5</v>
      </c>
      <c r="N93" s="9" t="n">
        <v>5</v>
      </c>
      <c r="O93" s="10" t="n">
        <f aca="false">IF(N93="","",N93)</f>
        <v>5</v>
      </c>
      <c r="P93" s="9" t="n">
        <v>5</v>
      </c>
      <c r="Q93" s="10" t="n">
        <f aca="false">IF(P93="","",P93)</f>
        <v>5</v>
      </c>
      <c r="R93" s="10" t="n">
        <f aca="false">IF(COUNTA(K93,M93,O93,Q93)=0,"",AVERAGE(K93,M93,O93,Q93))</f>
        <v>5</v>
      </c>
      <c r="S93" s="11" t="s">
        <v>39</v>
      </c>
      <c r="T93" s="11" t="s">
        <v>249</v>
      </c>
      <c r="U93" s="11"/>
    </row>
    <row r="94" customFormat="false" ht="60.75" hidden="false" customHeight="true" outlineLevel="0" collapsed="false">
      <c r="A94" s="7" t="n">
        <v>93</v>
      </c>
      <c r="B94" s="7" t="s">
        <v>243</v>
      </c>
      <c r="C94" s="7" t="s">
        <v>244</v>
      </c>
      <c r="D94" s="7" t="s">
        <v>245</v>
      </c>
      <c r="E94" s="7" t="s">
        <v>246</v>
      </c>
      <c r="F94" s="7" t="s">
        <v>128</v>
      </c>
      <c r="G94" s="12" t="s">
        <v>252</v>
      </c>
      <c r="H94" s="7" t="s">
        <v>10</v>
      </c>
      <c r="I94" s="12" t="s">
        <v>253</v>
      </c>
      <c r="J94" s="9" t="n">
        <v>5</v>
      </c>
      <c r="K94" s="10" t="n">
        <f aca="false">IF(J94="","",J94)</f>
        <v>5</v>
      </c>
      <c r="L94" s="9" t="n">
        <v>5</v>
      </c>
      <c r="M94" s="10" t="n">
        <f aca="false">IF(L94="","",L94)</f>
        <v>5</v>
      </c>
      <c r="N94" s="9" t="n">
        <v>5</v>
      </c>
      <c r="O94" s="10" t="n">
        <f aca="false">IF(N94="","",N94)</f>
        <v>5</v>
      </c>
      <c r="P94" s="9" t="n">
        <v>5</v>
      </c>
      <c r="Q94" s="10" t="n">
        <f aca="false">IF(P94="","",P94)</f>
        <v>5</v>
      </c>
      <c r="R94" s="10" t="n">
        <f aca="false">IF(COUNTA(K94,M94,O94,Q94)=0,"",AVERAGE(K94,M94,O94,Q94))</f>
        <v>5</v>
      </c>
      <c r="S94" s="11" t="s">
        <v>39</v>
      </c>
      <c r="T94" s="11" t="s">
        <v>249</v>
      </c>
      <c r="U94" s="11"/>
    </row>
    <row r="95" customFormat="false" ht="45.75" hidden="false" customHeight="true" outlineLevel="0" collapsed="false">
      <c r="A95" s="7" t="n">
        <v>94</v>
      </c>
      <c r="B95" s="7" t="s">
        <v>243</v>
      </c>
      <c r="C95" s="7" t="s">
        <v>244</v>
      </c>
      <c r="D95" s="7" t="s">
        <v>245</v>
      </c>
      <c r="E95" s="7" t="s">
        <v>246</v>
      </c>
      <c r="F95" s="7" t="s">
        <v>128</v>
      </c>
      <c r="G95" s="12" t="s">
        <v>254</v>
      </c>
      <c r="H95" s="7" t="s">
        <v>10</v>
      </c>
      <c r="I95" s="12" t="s">
        <v>255</v>
      </c>
      <c r="J95" s="9" t="n">
        <v>5</v>
      </c>
      <c r="K95" s="10" t="n">
        <f aca="false">IF(J95="","",J95)</f>
        <v>5</v>
      </c>
      <c r="L95" s="9" t="n">
        <v>5</v>
      </c>
      <c r="M95" s="10" t="n">
        <f aca="false">IF(L95="","",L95)</f>
        <v>5</v>
      </c>
      <c r="N95" s="9" t="n">
        <v>5</v>
      </c>
      <c r="O95" s="10" t="n">
        <f aca="false">IF(N95="","",N95)</f>
        <v>5</v>
      </c>
      <c r="P95" s="9" t="n">
        <v>5</v>
      </c>
      <c r="Q95" s="10" t="n">
        <f aca="false">IF(P95="","",P95)</f>
        <v>5</v>
      </c>
      <c r="R95" s="10" t="n">
        <f aca="false">IF(COUNTA(K95,M95,O95,Q95)=0,"",AVERAGE(K95,M95,O95,Q95))</f>
        <v>5</v>
      </c>
      <c r="S95" s="11" t="s">
        <v>39</v>
      </c>
      <c r="T95" s="11" t="s">
        <v>249</v>
      </c>
      <c r="U95" s="11"/>
    </row>
    <row r="96" customFormat="false" ht="75.75" hidden="false" customHeight="true" outlineLevel="0" collapsed="false">
      <c r="A96" s="7" t="n">
        <v>95</v>
      </c>
      <c r="B96" s="7" t="s">
        <v>243</v>
      </c>
      <c r="C96" s="7" t="s">
        <v>244</v>
      </c>
      <c r="D96" s="7" t="s">
        <v>245</v>
      </c>
      <c r="E96" s="7" t="s">
        <v>246</v>
      </c>
      <c r="F96" s="7" t="s">
        <v>128</v>
      </c>
      <c r="G96" s="12" t="s">
        <v>256</v>
      </c>
      <c r="H96" s="7" t="s">
        <v>10</v>
      </c>
      <c r="I96" s="12" t="s">
        <v>257</v>
      </c>
      <c r="J96" s="9" t="n">
        <v>5</v>
      </c>
      <c r="K96" s="10" t="n">
        <f aca="false">IF(J96="","",J96)</f>
        <v>5</v>
      </c>
      <c r="L96" s="9" t="n">
        <v>5</v>
      </c>
      <c r="M96" s="10" t="n">
        <f aca="false">IF(L96="","",L96)</f>
        <v>5</v>
      </c>
      <c r="N96" s="9" t="n">
        <v>5</v>
      </c>
      <c r="O96" s="10" t="n">
        <f aca="false">IF(N96="","",N96)</f>
        <v>5</v>
      </c>
      <c r="P96" s="9" t="n">
        <v>5</v>
      </c>
      <c r="Q96" s="10" t="n">
        <f aca="false">IF(P96="","",P96)</f>
        <v>5</v>
      </c>
      <c r="R96" s="10" t="n">
        <f aca="false">IF(COUNTA(K96,M96,O96,Q96)=0,"",AVERAGE(K96,M96,O96,Q96))</f>
        <v>5</v>
      </c>
      <c r="S96" s="11" t="s">
        <v>39</v>
      </c>
      <c r="T96" s="11" t="s">
        <v>249</v>
      </c>
      <c r="U96" s="11"/>
    </row>
    <row r="97" customFormat="false" ht="75.75" hidden="false" customHeight="true" outlineLevel="0" collapsed="false">
      <c r="A97" s="7" t="n">
        <v>96</v>
      </c>
      <c r="B97" s="7" t="s">
        <v>243</v>
      </c>
      <c r="C97" s="7" t="s">
        <v>244</v>
      </c>
      <c r="D97" s="7" t="s">
        <v>245</v>
      </c>
      <c r="E97" s="7" t="s">
        <v>246</v>
      </c>
      <c r="F97" s="7" t="s">
        <v>128</v>
      </c>
      <c r="G97" s="12" t="s">
        <v>258</v>
      </c>
      <c r="H97" s="7" t="s">
        <v>10</v>
      </c>
      <c r="I97" s="12" t="s">
        <v>259</v>
      </c>
      <c r="J97" s="9" t="n">
        <v>5</v>
      </c>
      <c r="K97" s="10" t="n">
        <f aca="false">IF(J97="","",J97)</f>
        <v>5</v>
      </c>
      <c r="L97" s="9" t="n">
        <v>5</v>
      </c>
      <c r="M97" s="10" t="n">
        <f aca="false">IF(L97="","",L97)</f>
        <v>5</v>
      </c>
      <c r="N97" s="9" t="n">
        <v>5</v>
      </c>
      <c r="O97" s="10" t="n">
        <f aca="false">IF(N97="","",N97)</f>
        <v>5</v>
      </c>
      <c r="P97" s="9" t="n">
        <v>5</v>
      </c>
      <c r="Q97" s="10" t="n">
        <f aca="false">IF(P97="","",P97)</f>
        <v>5</v>
      </c>
      <c r="R97" s="10" t="n">
        <f aca="false">IF(COUNTA(K97,M97,O97,Q97)=0,"",AVERAGE(K97,M97,O97,Q97))</f>
        <v>5</v>
      </c>
      <c r="S97" s="11" t="s">
        <v>39</v>
      </c>
      <c r="T97" s="11" t="s">
        <v>249</v>
      </c>
      <c r="U97" s="11"/>
    </row>
    <row r="98" customFormat="false" ht="75.75" hidden="false" customHeight="true" outlineLevel="0" collapsed="false">
      <c r="A98" s="7" t="n">
        <v>97</v>
      </c>
      <c r="B98" s="7" t="s">
        <v>243</v>
      </c>
      <c r="C98" s="7" t="s">
        <v>244</v>
      </c>
      <c r="D98" s="7" t="s">
        <v>245</v>
      </c>
      <c r="E98" s="7" t="s">
        <v>246</v>
      </c>
      <c r="F98" s="7" t="s">
        <v>128</v>
      </c>
      <c r="G98" s="12" t="s">
        <v>260</v>
      </c>
      <c r="H98" s="7" t="s">
        <v>10</v>
      </c>
      <c r="I98" s="12" t="s">
        <v>261</v>
      </c>
      <c r="J98" s="9" t="n">
        <v>5</v>
      </c>
      <c r="K98" s="10" t="n">
        <f aca="false">IF(J98="","",J98)</f>
        <v>5</v>
      </c>
      <c r="L98" s="9" t="n">
        <v>5</v>
      </c>
      <c r="M98" s="10" t="n">
        <f aca="false">IF(L98="","",L98)</f>
        <v>5</v>
      </c>
      <c r="N98" s="9" t="n">
        <v>5</v>
      </c>
      <c r="O98" s="10" t="n">
        <f aca="false">IF(N98="","",N98)</f>
        <v>5</v>
      </c>
      <c r="P98" s="9" t="n">
        <v>5</v>
      </c>
      <c r="Q98" s="10" t="n">
        <f aca="false">IF(P98="","",P98)</f>
        <v>5</v>
      </c>
      <c r="R98" s="10" t="n">
        <f aca="false">IF(COUNTA(K98,M98,O98,Q98)=0,"",AVERAGE(K98,M98,O98,Q98))</f>
        <v>5</v>
      </c>
      <c r="S98" s="11" t="s">
        <v>39</v>
      </c>
      <c r="T98" s="11" t="s">
        <v>249</v>
      </c>
      <c r="U98" s="11"/>
    </row>
    <row r="99" customFormat="false" ht="60.75" hidden="false" customHeight="true" outlineLevel="0" collapsed="false">
      <c r="A99" s="7" t="n">
        <v>98</v>
      </c>
      <c r="B99" s="7" t="s">
        <v>243</v>
      </c>
      <c r="C99" s="7" t="s">
        <v>244</v>
      </c>
      <c r="D99" s="7" t="s">
        <v>245</v>
      </c>
      <c r="E99" s="7" t="s">
        <v>246</v>
      </c>
      <c r="F99" s="7" t="s">
        <v>128</v>
      </c>
      <c r="G99" s="12" t="s">
        <v>262</v>
      </c>
      <c r="H99" s="7" t="s">
        <v>10</v>
      </c>
      <c r="I99" s="12" t="s">
        <v>263</v>
      </c>
      <c r="J99" s="9" t="n">
        <v>5</v>
      </c>
      <c r="K99" s="10" t="n">
        <f aca="false">IF(J99="","",J99)</f>
        <v>5</v>
      </c>
      <c r="L99" s="9" t="n">
        <v>5</v>
      </c>
      <c r="M99" s="10" t="n">
        <f aca="false">IF(L99="","",L99)</f>
        <v>5</v>
      </c>
      <c r="N99" s="9" t="n">
        <v>5</v>
      </c>
      <c r="O99" s="10" t="n">
        <f aca="false">IF(N99="","",N99)</f>
        <v>5</v>
      </c>
      <c r="P99" s="9" t="n">
        <v>5</v>
      </c>
      <c r="Q99" s="10" t="n">
        <f aca="false">IF(P99="","",P99)</f>
        <v>5</v>
      </c>
      <c r="R99" s="10" t="n">
        <f aca="false">IF(COUNTA(K99,M99,O99,Q99)=0,"",AVERAGE(K99,M99,O99,Q99))</f>
        <v>5</v>
      </c>
      <c r="S99" s="11" t="s">
        <v>39</v>
      </c>
      <c r="T99" s="11" t="s">
        <v>249</v>
      </c>
      <c r="U99" s="11"/>
    </row>
    <row r="100" customFormat="false" ht="60.75" hidden="false" customHeight="true" outlineLevel="0" collapsed="false">
      <c r="A100" s="7" t="n">
        <v>99</v>
      </c>
      <c r="B100" s="7" t="s">
        <v>243</v>
      </c>
      <c r="C100" s="7" t="s">
        <v>244</v>
      </c>
      <c r="D100" s="7" t="s">
        <v>245</v>
      </c>
      <c r="E100" s="7" t="s">
        <v>246</v>
      </c>
      <c r="F100" s="7" t="s">
        <v>128</v>
      </c>
      <c r="G100" s="12" t="s">
        <v>264</v>
      </c>
      <c r="H100" s="7" t="s">
        <v>10</v>
      </c>
      <c r="I100" s="12" t="s">
        <v>265</v>
      </c>
      <c r="J100" s="9" t="n">
        <v>5</v>
      </c>
      <c r="K100" s="10" t="n">
        <f aca="false">IF(J100="","",J100)</f>
        <v>5</v>
      </c>
      <c r="L100" s="9" t="n">
        <v>5</v>
      </c>
      <c r="M100" s="10" t="n">
        <f aca="false">IF(L100="","",L100)</f>
        <v>5</v>
      </c>
      <c r="N100" s="9" t="n">
        <v>5</v>
      </c>
      <c r="O100" s="10" t="n">
        <f aca="false">IF(N100="","",N100)</f>
        <v>5</v>
      </c>
      <c r="P100" s="9" t="n">
        <v>5</v>
      </c>
      <c r="Q100" s="10" t="n">
        <f aca="false">IF(P100="","",P100)</f>
        <v>5</v>
      </c>
      <c r="R100" s="10" t="n">
        <f aca="false">IF(COUNTA(K100,M100,O100,Q100)=0,"",AVERAGE(K100,M100,O100,Q100))</f>
        <v>5</v>
      </c>
      <c r="S100" s="11" t="s">
        <v>39</v>
      </c>
      <c r="T100" s="11" t="s">
        <v>249</v>
      </c>
      <c r="U100" s="11"/>
    </row>
    <row r="101" customFormat="false" ht="45.75" hidden="false" customHeight="true" outlineLevel="0" collapsed="false">
      <c r="A101" s="7" t="n">
        <v>100</v>
      </c>
      <c r="B101" s="7" t="s">
        <v>243</v>
      </c>
      <c r="C101" s="7" t="s">
        <v>244</v>
      </c>
      <c r="D101" s="7" t="s">
        <v>245</v>
      </c>
      <c r="E101" s="7" t="s">
        <v>246</v>
      </c>
      <c r="F101" s="7" t="s">
        <v>128</v>
      </c>
      <c r="G101" s="12" t="s">
        <v>266</v>
      </c>
      <c r="H101" s="7" t="s">
        <v>10</v>
      </c>
      <c r="I101" s="12" t="s">
        <v>267</v>
      </c>
      <c r="J101" s="9" t="n">
        <v>5</v>
      </c>
      <c r="K101" s="10" t="n">
        <f aca="false">IF(J101="","",J101)</f>
        <v>5</v>
      </c>
      <c r="L101" s="9" t="n">
        <v>5</v>
      </c>
      <c r="M101" s="10" t="n">
        <f aca="false">IF(L101="","",L101)</f>
        <v>5</v>
      </c>
      <c r="N101" s="9" t="n">
        <v>5</v>
      </c>
      <c r="O101" s="10" t="n">
        <f aca="false">IF(N101="","",N101)</f>
        <v>5</v>
      </c>
      <c r="P101" s="9" t="n">
        <v>5</v>
      </c>
      <c r="Q101" s="10" t="n">
        <f aca="false">IF(P101="","",P101)</f>
        <v>5</v>
      </c>
      <c r="R101" s="10" t="n">
        <f aca="false">IF(COUNTA(K101,M101,O101,Q101)=0,"",AVERAGE(K101,M101,O101,Q101))</f>
        <v>5</v>
      </c>
      <c r="S101" s="11" t="s">
        <v>39</v>
      </c>
      <c r="T101" s="11" t="s">
        <v>249</v>
      </c>
      <c r="U101" s="11"/>
    </row>
    <row r="102" customFormat="false" ht="15.75" hidden="false" customHeight="true" outlineLevel="0" collapsed="false">
      <c r="A102" s="7" t="n">
        <v>1</v>
      </c>
      <c r="B102" s="7" t="s">
        <v>32</v>
      </c>
      <c r="C102" s="7" t="s">
        <v>33</v>
      </c>
      <c r="D102" s="7" t="s">
        <v>34</v>
      </c>
      <c r="E102" s="7" t="s">
        <v>35</v>
      </c>
      <c r="F102" s="7" t="s">
        <v>36</v>
      </c>
      <c r="G102" s="8" t="s">
        <v>37</v>
      </c>
      <c r="H102" s="7" t="s">
        <v>9</v>
      </c>
      <c r="I102" s="0" t="s">
        <v>38</v>
      </c>
      <c r="J102" s="9" t="n">
        <v>5</v>
      </c>
      <c r="K102" s="10" t="n">
        <f aca="false">IF(J102="","",J102)</f>
        <v>5</v>
      </c>
      <c r="L102" s="9" t="n">
        <v>4</v>
      </c>
      <c r="M102" s="10" t="n">
        <f aca="false">IF(L102="","",L102)</f>
        <v>4</v>
      </c>
      <c r="N102" s="9" t="n">
        <v>4</v>
      </c>
      <c r="O102" s="10" t="n">
        <f aca="false">IF(N102="","",N102)</f>
        <v>4</v>
      </c>
      <c r="P102" s="9" t="n">
        <v>5</v>
      </c>
      <c r="Q102" s="10" t="n">
        <f aca="false">IF(P102="","",P102)</f>
        <v>5</v>
      </c>
      <c r="R102" s="10" t="n">
        <f aca="false">IF(COUNTA(K102,M102,O102,Q102)=0,"",AVERAGE(K102,M102,O102,Q102))</f>
        <v>4.5</v>
      </c>
      <c r="S102" s="11" t="s">
        <v>39</v>
      </c>
      <c r="T102" s="11" t="s">
        <v>40</v>
      </c>
      <c r="U102" s="11"/>
    </row>
    <row r="103" customFormat="false" ht="15.75" hidden="false" customHeight="true" outlineLevel="0" collapsed="false">
      <c r="A103" s="7" t="n">
        <v>2</v>
      </c>
      <c r="B103" s="7" t="s">
        <v>32</v>
      </c>
      <c r="C103" s="7" t="s">
        <v>33</v>
      </c>
      <c r="D103" s="7" t="s">
        <v>34</v>
      </c>
      <c r="E103" s="7" t="s">
        <v>35</v>
      </c>
      <c r="F103" s="7" t="s">
        <v>36</v>
      </c>
      <c r="G103" s="12" t="s">
        <v>41</v>
      </c>
      <c r="H103" s="7" t="s">
        <v>9</v>
      </c>
      <c r="I103" s="0" t="s">
        <v>42</v>
      </c>
      <c r="J103" s="9" t="n">
        <v>5</v>
      </c>
      <c r="K103" s="10" t="n">
        <f aca="false">IF(J103="","",J103)</f>
        <v>5</v>
      </c>
      <c r="L103" s="9" t="n">
        <v>4</v>
      </c>
      <c r="M103" s="10" t="n">
        <f aca="false">IF(L103="","",L103)</f>
        <v>4</v>
      </c>
      <c r="N103" s="9" t="n">
        <v>4</v>
      </c>
      <c r="O103" s="10" t="n">
        <f aca="false">IF(N103="","",N103)</f>
        <v>4</v>
      </c>
      <c r="P103" s="9" t="n">
        <v>5</v>
      </c>
      <c r="Q103" s="10" t="n">
        <f aca="false">IF(P103="","",P103)</f>
        <v>5</v>
      </c>
      <c r="R103" s="10" t="n">
        <f aca="false">IF(COUNTA(K103,M103,O103,Q103)=0,"",AVERAGE(K103,M103,O103,Q103))</f>
        <v>4.5</v>
      </c>
      <c r="S103" s="11" t="s">
        <v>39</v>
      </c>
      <c r="T103" s="11" t="s">
        <v>40</v>
      </c>
      <c r="U103" s="11"/>
    </row>
    <row r="104" customFormat="false" ht="15.75" hidden="false" customHeight="true" outlineLevel="0" collapsed="false">
      <c r="A104" s="7" t="n">
        <v>3</v>
      </c>
      <c r="B104" s="7" t="s">
        <v>32</v>
      </c>
      <c r="C104" s="7" t="s">
        <v>33</v>
      </c>
      <c r="D104" s="7" t="s">
        <v>34</v>
      </c>
      <c r="E104" s="7" t="s">
        <v>35</v>
      </c>
      <c r="F104" s="7" t="s">
        <v>36</v>
      </c>
      <c r="G104" s="12" t="s">
        <v>43</v>
      </c>
      <c r="H104" s="7" t="s">
        <v>9</v>
      </c>
      <c r="I104" s="0" t="n">
        <v>1945</v>
      </c>
      <c r="J104" s="9" t="n">
        <v>5</v>
      </c>
      <c r="K104" s="10" t="n">
        <f aca="false">IF(J104="","",J104)</f>
        <v>5</v>
      </c>
      <c r="L104" s="9" t="n">
        <v>4</v>
      </c>
      <c r="M104" s="10" t="n">
        <f aca="false">IF(L104="","",L104)</f>
        <v>4</v>
      </c>
      <c r="N104" s="9" t="n">
        <v>4</v>
      </c>
      <c r="O104" s="10" t="n">
        <f aca="false">IF(N104="","",N104)</f>
        <v>4</v>
      </c>
      <c r="P104" s="9" t="n">
        <v>5</v>
      </c>
      <c r="Q104" s="10" t="n">
        <f aca="false">IF(P104="","",P104)</f>
        <v>5</v>
      </c>
      <c r="R104" s="10" t="n">
        <f aca="false">IF(COUNTA(K104,M104,O104,Q104)=0,"",AVERAGE(K104,M104,O104,Q104))</f>
        <v>4.5</v>
      </c>
      <c r="S104" s="11" t="s">
        <v>39</v>
      </c>
      <c r="T104" s="11" t="s">
        <v>40</v>
      </c>
      <c r="U104" s="11"/>
    </row>
    <row r="105" customFormat="false" ht="15.75" hidden="false" customHeight="true" outlineLevel="0" collapsed="false">
      <c r="A105" s="7" t="n">
        <v>4</v>
      </c>
      <c r="B105" s="7" t="s">
        <v>32</v>
      </c>
      <c r="C105" s="7" t="s">
        <v>33</v>
      </c>
      <c r="D105" s="7" t="s">
        <v>34</v>
      </c>
      <c r="E105" s="7" t="s">
        <v>35</v>
      </c>
      <c r="F105" s="7" t="s">
        <v>36</v>
      </c>
      <c r="G105" s="12" t="s">
        <v>44</v>
      </c>
      <c r="H105" s="7" t="s">
        <v>9</v>
      </c>
      <c r="I105" s="0" t="s">
        <v>45</v>
      </c>
      <c r="J105" s="9" t="n">
        <v>5</v>
      </c>
      <c r="K105" s="10" t="n">
        <f aca="false">IF(J105="","",J105)</f>
        <v>5</v>
      </c>
      <c r="L105" s="9" t="n">
        <v>4</v>
      </c>
      <c r="M105" s="10" t="n">
        <f aca="false">IF(L105="","",L105)</f>
        <v>4</v>
      </c>
      <c r="N105" s="9" t="n">
        <v>4</v>
      </c>
      <c r="O105" s="10" t="n">
        <f aca="false">IF(N105="","",N105)</f>
        <v>4</v>
      </c>
      <c r="P105" s="9" t="n">
        <v>5</v>
      </c>
      <c r="Q105" s="10" t="n">
        <f aca="false">IF(P105="","",P105)</f>
        <v>5</v>
      </c>
      <c r="R105" s="10" t="n">
        <f aca="false">IF(COUNTA(K105,M105,O105,Q105)=0,"",AVERAGE(K105,M105,O105,Q105))</f>
        <v>4.5</v>
      </c>
      <c r="S105" s="11" t="s">
        <v>39</v>
      </c>
      <c r="T105" s="11" t="s">
        <v>40</v>
      </c>
      <c r="U105" s="11"/>
    </row>
    <row r="106" customFormat="false" ht="15.75" hidden="false" customHeight="true" outlineLevel="0" collapsed="false">
      <c r="A106" s="7" t="n">
        <v>5</v>
      </c>
      <c r="B106" s="7" t="s">
        <v>32</v>
      </c>
      <c r="C106" s="7" t="s">
        <v>33</v>
      </c>
      <c r="D106" s="7" t="s">
        <v>34</v>
      </c>
      <c r="E106" s="7" t="s">
        <v>35</v>
      </c>
      <c r="F106" s="7" t="s">
        <v>36</v>
      </c>
      <c r="G106" s="12" t="s">
        <v>46</v>
      </c>
      <c r="H106" s="7" t="s">
        <v>9</v>
      </c>
      <c r="I106" s="0" t="s">
        <v>47</v>
      </c>
      <c r="J106" s="9" t="n">
        <v>5</v>
      </c>
      <c r="K106" s="10" t="n">
        <f aca="false">IF(J106="","",J106)</f>
        <v>5</v>
      </c>
      <c r="L106" s="9" t="n">
        <v>4</v>
      </c>
      <c r="M106" s="10" t="n">
        <f aca="false">IF(L106="","",L106)</f>
        <v>4</v>
      </c>
      <c r="N106" s="9" t="n">
        <v>4</v>
      </c>
      <c r="O106" s="10" t="n">
        <f aca="false">IF(N106="","",N106)</f>
        <v>4</v>
      </c>
      <c r="P106" s="9" t="n">
        <v>5</v>
      </c>
      <c r="Q106" s="10" t="n">
        <f aca="false">IF(P106="","",P106)</f>
        <v>5</v>
      </c>
      <c r="R106" s="10" t="n">
        <f aca="false">IF(COUNTA(K106,M106,O106,Q106)=0,"",AVERAGE(K106,M106,O106,Q106))</f>
        <v>4.5</v>
      </c>
      <c r="S106" s="11" t="s">
        <v>39</v>
      </c>
      <c r="T106" s="11" t="s">
        <v>40</v>
      </c>
      <c r="U106" s="11"/>
    </row>
    <row r="107" customFormat="false" ht="15.75" hidden="false" customHeight="true" outlineLevel="0" collapsed="false">
      <c r="A107" s="7" t="n">
        <v>6</v>
      </c>
      <c r="B107" s="7" t="s">
        <v>32</v>
      </c>
      <c r="C107" s="7" t="s">
        <v>33</v>
      </c>
      <c r="D107" s="7" t="s">
        <v>34</v>
      </c>
      <c r="E107" s="7" t="s">
        <v>35</v>
      </c>
      <c r="F107" s="7" t="s">
        <v>36</v>
      </c>
      <c r="G107" s="12" t="s">
        <v>48</v>
      </c>
      <c r="H107" s="7" t="s">
        <v>9</v>
      </c>
      <c r="I107" s="0" t="s">
        <v>49</v>
      </c>
      <c r="J107" s="9" t="n">
        <v>5</v>
      </c>
      <c r="K107" s="10" t="n">
        <f aca="false">IF(J107="","",J107)</f>
        <v>5</v>
      </c>
      <c r="L107" s="9" t="n">
        <v>4</v>
      </c>
      <c r="M107" s="10" t="n">
        <f aca="false">IF(L107="","",L107)</f>
        <v>4</v>
      </c>
      <c r="N107" s="9" t="n">
        <v>4</v>
      </c>
      <c r="O107" s="10" t="n">
        <f aca="false">IF(N107="","",N107)</f>
        <v>4</v>
      </c>
      <c r="P107" s="9" t="n">
        <v>5</v>
      </c>
      <c r="Q107" s="10" t="n">
        <f aca="false">IF(P107="","",P107)</f>
        <v>5</v>
      </c>
      <c r="R107" s="10" t="n">
        <f aca="false">IF(COUNTA(K107,M107,O107,Q107)=0,"",AVERAGE(K107,M107,O107,Q107))</f>
        <v>4.5</v>
      </c>
      <c r="S107" s="11" t="s">
        <v>39</v>
      </c>
      <c r="T107" s="11" t="s">
        <v>40</v>
      </c>
      <c r="U107" s="11"/>
    </row>
    <row r="108" customFormat="false" ht="15.75" hidden="false" customHeight="true" outlineLevel="0" collapsed="false">
      <c r="A108" s="7" t="n">
        <v>7</v>
      </c>
      <c r="B108" s="7" t="s">
        <v>32</v>
      </c>
      <c r="C108" s="7" t="s">
        <v>33</v>
      </c>
      <c r="D108" s="7" t="s">
        <v>34</v>
      </c>
      <c r="E108" s="7" t="s">
        <v>35</v>
      </c>
      <c r="F108" s="7" t="s">
        <v>36</v>
      </c>
      <c r="G108" s="12" t="s">
        <v>50</v>
      </c>
      <c r="H108" s="7" t="s">
        <v>9</v>
      </c>
      <c r="I108" s="0" t="s">
        <v>51</v>
      </c>
      <c r="J108" s="9" t="n">
        <v>5</v>
      </c>
      <c r="K108" s="10" t="n">
        <f aca="false">IF(J108="","",J108)</f>
        <v>5</v>
      </c>
      <c r="L108" s="9" t="n">
        <v>4</v>
      </c>
      <c r="M108" s="10" t="n">
        <f aca="false">IF(L108="","",L108)</f>
        <v>4</v>
      </c>
      <c r="N108" s="9" t="n">
        <v>4</v>
      </c>
      <c r="O108" s="10" t="n">
        <f aca="false">IF(N108="","",N108)</f>
        <v>4</v>
      </c>
      <c r="P108" s="9" t="n">
        <v>5</v>
      </c>
      <c r="Q108" s="10" t="n">
        <f aca="false">IF(P108="","",P108)</f>
        <v>5</v>
      </c>
      <c r="R108" s="10" t="n">
        <f aca="false">IF(COUNTA(K108,M108,O108,Q108)=0,"",AVERAGE(K108,M108,O108,Q108))</f>
        <v>4.5</v>
      </c>
      <c r="S108" s="11" t="s">
        <v>39</v>
      </c>
      <c r="T108" s="11" t="s">
        <v>52</v>
      </c>
      <c r="U108" s="11"/>
    </row>
    <row r="109" customFormat="false" ht="15.75" hidden="false" customHeight="true" outlineLevel="0" collapsed="false">
      <c r="A109" s="7" t="n">
        <v>8</v>
      </c>
      <c r="B109" s="7" t="s">
        <v>32</v>
      </c>
      <c r="C109" s="7" t="s">
        <v>33</v>
      </c>
      <c r="D109" s="7" t="s">
        <v>34</v>
      </c>
      <c r="E109" s="7" t="s">
        <v>35</v>
      </c>
      <c r="F109" s="7" t="s">
        <v>36</v>
      </c>
      <c r="G109" s="12" t="s">
        <v>53</v>
      </c>
      <c r="H109" s="7" t="s">
        <v>9</v>
      </c>
      <c r="I109" s="0" t="s">
        <v>268</v>
      </c>
      <c r="J109" s="9" t="n">
        <v>5</v>
      </c>
      <c r="K109" s="10" t="n">
        <f aca="false">IF(J109="","",J109)</f>
        <v>5</v>
      </c>
      <c r="L109" s="9" t="n">
        <v>5</v>
      </c>
      <c r="M109" s="10" t="n">
        <f aca="false">IF(L109="","",L109)</f>
        <v>5</v>
      </c>
      <c r="N109" s="9" t="n">
        <v>5</v>
      </c>
      <c r="O109" s="10" t="n">
        <f aca="false">IF(N109="","",N109)</f>
        <v>5</v>
      </c>
      <c r="P109" s="9" t="n">
        <v>5</v>
      </c>
      <c r="Q109" s="10" t="n">
        <f aca="false">IF(P109="","",P109)</f>
        <v>5</v>
      </c>
      <c r="R109" s="10" t="n">
        <f aca="false">IF(COUNTA(K109,M109,O109,Q109)=0,"",AVERAGE(K109,M109,O109,Q109))</f>
        <v>5</v>
      </c>
      <c r="S109" s="11" t="s">
        <v>39</v>
      </c>
      <c r="T109" s="11" t="s">
        <v>55</v>
      </c>
      <c r="U109" s="11"/>
    </row>
    <row r="110" customFormat="false" ht="15.75" hidden="false" customHeight="true" outlineLevel="0" collapsed="false">
      <c r="A110" s="7" t="n">
        <v>9</v>
      </c>
      <c r="B110" s="7" t="s">
        <v>32</v>
      </c>
      <c r="C110" s="7" t="s">
        <v>33</v>
      </c>
      <c r="D110" s="7" t="s">
        <v>34</v>
      </c>
      <c r="E110" s="7" t="s">
        <v>35</v>
      </c>
      <c r="F110" s="7" t="s">
        <v>36</v>
      </c>
      <c r="G110" s="12" t="s">
        <v>56</v>
      </c>
      <c r="H110" s="7" t="s">
        <v>9</v>
      </c>
      <c r="I110" s="0" t="s">
        <v>57</v>
      </c>
      <c r="J110" s="9" t="n">
        <v>5</v>
      </c>
      <c r="K110" s="10" t="n">
        <f aca="false">IF(J110="","",J110)</f>
        <v>5</v>
      </c>
      <c r="L110" s="9" t="n">
        <v>4</v>
      </c>
      <c r="M110" s="10" t="n">
        <f aca="false">IF(L110="","",L110)</f>
        <v>4</v>
      </c>
      <c r="N110" s="9" t="n">
        <v>4</v>
      </c>
      <c r="O110" s="10" t="n">
        <f aca="false">IF(N110="","",N110)</f>
        <v>4</v>
      </c>
      <c r="P110" s="9" t="n">
        <v>5</v>
      </c>
      <c r="Q110" s="10" t="n">
        <f aca="false">IF(P110="","",P110)</f>
        <v>5</v>
      </c>
      <c r="R110" s="10" t="n">
        <f aca="false">IF(COUNTA(K110,M110,O110,Q110)=0,"",AVERAGE(K110,M110,O110,Q110))</f>
        <v>4.5</v>
      </c>
      <c r="S110" s="11" t="s">
        <v>39</v>
      </c>
      <c r="T110" s="11" t="s">
        <v>40</v>
      </c>
      <c r="U110" s="11"/>
    </row>
    <row r="111" customFormat="false" ht="15.75" hidden="false" customHeight="true" outlineLevel="0" collapsed="false">
      <c r="A111" s="7" t="n">
        <v>10</v>
      </c>
      <c r="B111" s="7" t="s">
        <v>32</v>
      </c>
      <c r="C111" s="7" t="s">
        <v>33</v>
      </c>
      <c r="D111" s="7" t="s">
        <v>34</v>
      </c>
      <c r="E111" s="7" t="s">
        <v>35</v>
      </c>
      <c r="F111" s="7" t="s">
        <v>36</v>
      </c>
      <c r="G111" s="12" t="s">
        <v>58</v>
      </c>
      <c r="H111" s="7" t="s">
        <v>9</v>
      </c>
      <c r="I111" s="0" t="s">
        <v>59</v>
      </c>
      <c r="J111" s="9" t="n">
        <v>5</v>
      </c>
      <c r="K111" s="10" t="n">
        <f aca="false">IF(J111="","",J111)</f>
        <v>5</v>
      </c>
      <c r="L111" s="9" t="n">
        <v>4</v>
      </c>
      <c r="M111" s="10" t="n">
        <f aca="false">IF(L111="","",L111)</f>
        <v>4</v>
      </c>
      <c r="N111" s="9" t="n">
        <v>4</v>
      </c>
      <c r="O111" s="10" t="n">
        <f aca="false">IF(N111="","",N111)</f>
        <v>4</v>
      </c>
      <c r="P111" s="9" t="n">
        <v>5</v>
      </c>
      <c r="Q111" s="10" t="n">
        <f aca="false">IF(P111="","",P111)</f>
        <v>5</v>
      </c>
      <c r="R111" s="10" t="n">
        <f aca="false">IF(COUNTA(K111,M111,O111,Q111)=0,"",AVERAGE(K111,M111,O111,Q111))</f>
        <v>4.5</v>
      </c>
      <c r="S111" s="11" t="s">
        <v>39</v>
      </c>
      <c r="T111" s="11" t="s">
        <v>40</v>
      </c>
      <c r="U111" s="11"/>
    </row>
    <row r="112" customFormat="false" ht="30.75" hidden="false" customHeight="true" outlineLevel="0" collapsed="false">
      <c r="A112" s="7" t="n">
        <v>11</v>
      </c>
      <c r="B112" s="7" t="s">
        <v>60</v>
      </c>
      <c r="C112" s="7" t="s">
        <v>61</v>
      </c>
      <c r="D112" s="7" t="s">
        <v>62</v>
      </c>
      <c r="E112" s="7" t="s">
        <v>63</v>
      </c>
      <c r="F112" s="7" t="s">
        <v>36</v>
      </c>
      <c r="G112" s="12" t="s">
        <v>64</v>
      </c>
      <c r="H112" s="7" t="s">
        <v>9</v>
      </c>
      <c r="I112" s="0" t="s">
        <v>65</v>
      </c>
      <c r="J112" s="9" t="n">
        <v>5</v>
      </c>
      <c r="K112" s="10" t="n">
        <f aca="false">IF(J112="","",J112)</f>
        <v>5</v>
      </c>
      <c r="L112" s="9" t="n">
        <v>4</v>
      </c>
      <c r="M112" s="10" t="n">
        <f aca="false">IF(L112="","",L112)</f>
        <v>4</v>
      </c>
      <c r="N112" s="9" t="n">
        <v>4</v>
      </c>
      <c r="O112" s="10" t="n">
        <f aca="false">IF(N112="","",N112)</f>
        <v>4</v>
      </c>
      <c r="P112" s="9" t="n">
        <v>5</v>
      </c>
      <c r="Q112" s="10" t="n">
        <f aca="false">IF(P112="","",P112)</f>
        <v>5</v>
      </c>
      <c r="R112" s="10" t="n">
        <f aca="false">IF(COUNTA(K112,M112,O112,Q112)=0,"",AVERAGE(K112,M112,O112,Q112))</f>
        <v>4.5</v>
      </c>
      <c r="S112" s="11" t="s">
        <v>39</v>
      </c>
      <c r="T112" s="11" t="s">
        <v>63</v>
      </c>
      <c r="U112" s="11"/>
    </row>
    <row r="113" customFormat="false" ht="45.75" hidden="false" customHeight="true" outlineLevel="0" collapsed="false">
      <c r="A113" s="7" t="n">
        <v>12</v>
      </c>
      <c r="B113" s="7" t="s">
        <v>60</v>
      </c>
      <c r="C113" s="7" t="s">
        <v>61</v>
      </c>
      <c r="D113" s="7" t="s">
        <v>62</v>
      </c>
      <c r="E113" s="7" t="s">
        <v>63</v>
      </c>
      <c r="F113" s="7" t="s">
        <v>36</v>
      </c>
      <c r="G113" s="12" t="s">
        <v>66</v>
      </c>
      <c r="H113" s="7" t="s">
        <v>9</v>
      </c>
      <c r="I113" s="0" t="s">
        <v>269</v>
      </c>
      <c r="J113" s="9" t="n">
        <v>4</v>
      </c>
      <c r="K113" s="10" t="n">
        <f aca="false">IF(J113="","",J113)</f>
        <v>4</v>
      </c>
      <c r="L113" s="9" t="n">
        <v>5</v>
      </c>
      <c r="M113" s="10" t="n">
        <f aca="false">IF(L113="","",L113)</f>
        <v>5</v>
      </c>
      <c r="N113" s="9" t="n">
        <v>5</v>
      </c>
      <c r="O113" s="10" t="n">
        <f aca="false">IF(N113="","",N113)</f>
        <v>5</v>
      </c>
      <c r="P113" s="9" t="n">
        <v>5</v>
      </c>
      <c r="Q113" s="10" t="n">
        <f aca="false">IF(P113="","",P113)</f>
        <v>5</v>
      </c>
      <c r="R113" s="10" t="n">
        <f aca="false">IF(COUNTA(K113,M113,O113,Q113)=0,"",AVERAGE(K113,M113,O113,Q113))</f>
        <v>4.75</v>
      </c>
      <c r="S113" s="11" t="s">
        <v>270</v>
      </c>
      <c r="T113" s="11" t="s">
        <v>68</v>
      </c>
      <c r="U113" s="11"/>
    </row>
    <row r="114" customFormat="false" ht="30.75" hidden="false" customHeight="true" outlineLevel="0" collapsed="false">
      <c r="A114" s="7" t="n">
        <v>13</v>
      </c>
      <c r="B114" s="7" t="s">
        <v>60</v>
      </c>
      <c r="C114" s="7" t="s">
        <v>61</v>
      </c>
      <c r="D114" s="7" t="s">
        <v>62</v>
      </c>
      <c r="E114" s="7" t="s">
        <v>63</v>
      </c>
      <c r="F114" s="7" t="s">
        <v>36</v>
      </c>
      <c r="G114" s="12" t="s">
        <v>69</v>
      </c>
      <c r="H114" s="7" t="s">
        <v>9</v>
      </c>
      <c r="I114" s="0" t="s">
        <v>70</v>
      </c>
      <c r="J114" s="9" t="n">
        <v>5</v>
      </c>
      <c r="K114" s="10" t="n">
        <f aca="false">IF(J114="","",J114)</f>
        <v>5</v>
      </c>
      <c r="L114" s="9" t="n">
        <v>4</v>
      </c>
      <c r="M114" s="10" t="n">
        <f aca="false">IF(L114="","",L114)</f>
        <v>4</v>
      </c>
      <c r="N114" s="9" t="n">
        <v>4</v>
      </c>
      <c r="O114" s="10" t="n">
        <f aca="false">IF(N114="","",N114)</f>
        <v>4</v>
      </c>
      <c r="P114" s="9" t="n">
        <v>5</v>
      </c>
      <c r="Q114" s="10" t="n">
        <f aca="false">IF(P114="","",P114)</f>
        <v>5</v>
      </c>
      <c r="R114" s="10" t="n">
        <f aca="false">IF(COUNTA(K114,M114,O114,Q114)=0,"",AVERAGE(K114,M114,O114,Q114))</f>
        <v>4.5</v>
      </c>
      <c r="S114" s="11" t="s">
        <v>39</v>
      </c>
      <c r="T114" s="11" t="s">
        <v>63</v>
      </c>
      <c r="U114" s="11"/>
    </row>
    <row r="115" customFormat="false" ht="30.75" hidden="false" customHeight="true" outlineLevel="0" collapsed="false">
      <c r="A115" s="7" t="n">
        <v>14</v>
      </c>
      <c r="B115" s="7" t="s">
        <v>60</v>
      </c>
      <c r="C115" s="7" t="s">
        <v>61</v>
      </c>
      <c r="D115" s="7" t="s">
        <v>62</v>
      </c>
      <c r="E115" s="7" t="s">
        <v>63</v>
      </c>
      <c r="F115" s="7" t="s">
        <v>36</v>
      </c>
      <c r="G115" s="12" t="s">
        <v>71</v>
      </c>
      <c r="H115" s="7" t="s">
        <v>9</v>
      </c>
      <c r="I115" s="0" t="s">
        <v>65</v>
      </c>
      <c r="J115" s="9" t="n">
        <v>5</v>
      </c>
      <c r="K115" s="10" t="n">
        <f aca="false">IF(J115="","",J115)</f>
        <v>5</v>
      </c>
      <c r="L115" s="9" t="n">
        <v>4</v>
      </c>
      <c r="M115" s="10" t="n">
        <f aca="false">IF(L115="","",L115)</f>
        <v>4</v>
      </c>
      <c r="N115" s="9" t="n">
        <v>4</v>
      </c>
      <c r="O115" s="10" t="n">
        <f aca="false">IF(N115="","",N115)</f>
        <v>4</v>
      </c>
      <c r="P115" s="9" t="n">
        <v>5</v>
      </c>
      <c r="Q115" s="10" t="n">
        <f aca="false">IF(P115="","",P115)</f>
        <v>5</v>
      </c>
      <c r="R115" s="10" t="n">
        <f aca="false">IF(COUNTA(K115,M115,O115,Q115)=0,"",AVERAGE(K115,M115,O115,Q115))</f>
        <v>4.5</v>
      </c>
      <c r="S115" s="11" t="s">
        <v>39</v>
      </c>
      <c r="T115" s="11" t="s">
        <v>63</v>
      </c>
      <c r="U115" s="11"/>
    </row>
    <row r="116" customFormat="false" ht="30.75" hidden="false" customHeight="true" outlineLevel="0" collapsed="false">
      <c r="A116" s="7" t="n">
        <v>15</v>
      </c>
      <c r="B116" s="7" t="s">
        <v>60</v>
      </c>
      <c r="C116" s="7" t="s">
        <v>61</v>
      </c>
      <c r="D116" s="7" t="s">
        <v>62</v>
      </c>
      <c r="E116" s="7" t="s">
        <v>63</v>
      </c>
      <c r="F116" s="7" t="s">
        <v>36</v>
      </c>
      <c r="G116" s="12" t="s">
        <v>72</v>
      </c>
      <c r="H116" s="7" t="s">
        <v>9</v>
      </c>
      <c r="I116" s="0" t="s">
        <v>271</v>
      </c>
      <c r="J116" s="9" t="n">
        <v>5</v>
      </c>
      <c r="K116" s="10" t="n">
        <f aca="false">IF(J116="","",J116)</f>
        <v>5</v>
      </c>
      <c r="L116" s="9" t="n">
        <v>4</v>
      </c>
      <c r="M116" s="10" t="n">
        <f aca="false">IF(L116="","",L116)</f>
        <v>4</v>
      </c>
      <c r="N116" s="9" t="n">
        <v>4</v>
      </c>
      <c r="O116" s="10" t="n">
        <f aca="false">IF(N116="","",N116)</f>
        <v>4</v>
      </c>
      <c r="P116" s="9" t="n">
        <v>5</v>
      </c>
      <c r="Q116" s="10" t="n">
        <f aca="false">IF(P116="","",P116)</f>
        <v>5</v>
      </c>
      <c r="R116" s="10" t="n">
        <f aca="false">IF(COUNTA(K116,M116,O116,Q116)=0,"",AVERAGE(K116,M116,O116,Q116))</f>
        <v>4.5</v>
      </c>
      <c r="S116" s="11" t="s">
        <v>39</v>
      </c>
      <c r="T116" s="11" t="s">
        <v>63</v>
      </c>
      <c r="U116" s="11"/>
    </row>
    <row r="117" customFormat="false" ht="30.75" hidden="false" customHeight="true" outlineLevel="0" collapsed="false">
      <c r="A117" s="7" t="n">
        <v>16</v>
      </c>
      <c r="B117" s="7" t="s">
        <v>60</v>
      </c>
      <c r="C117" s="7" t="s">
        <v>61</v>
      </c>
      <c r="D117" s="7" t="s">
        <v>62</v>
      </c>
      <c r="E117" s="7" t="s">
        <v>63</v>
      </c>
      <c r="F117" s="7" t="s">
        <v>36</v>
      </c>
      <c r="G117" s="12" t="s">
        <v>74</v>
      </c>
      <c r="H117" s="7" t="s">
        <v>9</v>
      </c>
      <c r="I117" s="0" t="s">
        <v>65</v>
      </c>
      <c r="J117" s="9" t="n">
        <v>5</v>
      </c>
      <c r="K117" s="10" t="n">
        <f aca="false">IF(J117="","",J117)</f>
        <v>5</v>
      </c>
      <c r="L117" s="9" t="n">
        <v>4</v>
      </c>
      <c r="M117" s="10" t="n">
        <f aca="false">IF(L117="","",L117)</f>
        <v>4</v>
      </c>
      <c r="N117" s="9" t="n">
        <v>4</v>
      </c>
      <c r="O117" s="10" t="n">
        <f aca="false">IF(N117="","",N117)</f>
        <v>4</v>
      </c>
      <c r="P117" s="9" t="n">
        <v>5</v>
      </c>
      <c r="Q117" s="10" t="n">
        <f aca="false">IF(P117="","",P117)</f>
        <v>5</v>
      </c>
      <c r="R117" s="10" t="n">
        <f aca="false">IF(COUNTA(K117,M117,O117,Q117)=0,"",AVERAGE(K117,M117,O117,Q117))</f>
        <v>4.5</v>
      </c>
      <c r="S117" s="11" t="s">
        <v>39</v>
      </c>
      <c r="T117" s="11" t="s">
        <v>63</v>
      </c>
      <c r="U117" s="11"/>
    </row>
    <row r="118" customFormat="false" ht="15.75" hidden="false" customHeight="true" outlineLevel="0" collapsed="false">
      <c r="A118" s="7" t="n">
        <v>17</v>
      </c>
      <c r="B118" s="7" t="s">
        <v>60</v>
      </c>
      <c r="C118" s="7" t="s">
        <v>61</v>
      </c>
      <c r="D118" s="7" t="s">
        <v>62</v>
      </c>
      <c r="E118" s="7" t="s">
        <v>63</v>
      </c>
      <c r="F118" s="7" t="s">
        <v>36</v>
      </c>
      <c r="G118" s="12" t="s">
        <v>75</v>
      </c>
      <c r="H118" s="7" t="s">
        <v>9</v>
      </c>
      <c r="I118" s="0" t="s">
        <v>76</v>
      </c>
      <c r="J118" s="9" t="n">
        <v>5</v>
      </c>
      <c r="K118" s="10" t="n">
        <f aca="false">IF(J118="","",J118)</f>
        <v>5</v>
      </c>
      <c r="L118" s="9" t="n">
        <v>4</v>
      </c>
      <c r="M118" s="10" t="n">
        <f aca="false">IF(L118="","",L118)</f>
        <v>4</v>
      </c>
      <c r="N118" s="9" t="n">
        <v>4</v>
      </c>
      <c r="O118" s="10" t="n">
        <f aca="false">IF(N118="","",N118)</f>
        <v>4</v>
      </c>
      <c r="P118" s="9" t="n">
        <v>5</v>
      </c>
      <c r="Q118" s="10" t="n">
        <f aca="false">IF(P118="","",P118)</f>
        <v>5</v>
      </c>
      <c r="R118" s="10" t="n">
        <f aca="false">IF(COUNTA(K118,M118,O118,Q118)=0,"",AVERAGE(K118,M118,O118,Q118))</f>
        <v>4.5</v>
      </c>
      <c r="S118" s="11" t="s">
        <v>39</v>
      </c>
      <c r="T118" s="11" t="s">
        <v>63</v>
      </c>
      <c r="U118" s="11"/>
    </row>
    <row r="119" customFormat="false" ht="30.75" hidden="false" customHeight="true" outlineLevel="0" collapsed="false">
      <c r="A119" s="7" t="n">
        <v>18</v>
      </c>
      <c r="B119" s="7" t="s">
        <v>60</v>
      </c>
      <c r="C119" s="7" t="s">
        <v>61</v>
      </c>
      <c r="D119" s="7" t="s">
        <v>62</v>
      </c>
      <c r="E119" s="7" t="s">
        <v>63</v>
      </c>
      <c r="F119" s="7" t="s">
        <v>36</v>
      </c>
      <c r="G119" s="12" t="s">
        <v>77</v>
      </c>
      <c r="H119" s="7" t="s">
        <v>9</v>
      </c>
      <c r="I119" s="0" t="s">
        <v>272</v>
      </c>
      <c r="J119" s="9" t="n">
        <v>4</v>
      </c>
      <c r="K119" s="10" t="n">
        <f aca="false">IF(J119="","",J119)</f>
        <v>4</v>
      </c>
      <c r="L119" s="9" t="n">
        <v>4</v>
      </c>
      <c r="M119" s="10" t="n">
        <f aca="false">IF(L119="","",L119)</f>
        <v>4</v>
      </c>
      <c r="N119" s="9" t="n">
        <v>4</v>
      </c>
      <c r="O119" s="10" t="n">
        <f aca="false">IF(N119="","",N119)</f>
        <v>4</v>
      </c>
      <c r="P119" s="9" t="n">
        <v>5</v>
      </c>
      <c r="Q119" s="10" t="n">
        <f aca="false">IF(P119="","",P119)</f>
        <v>5</v>
      </c>
      <c r="R119" s="10" t="n">
        <f aca="false">IF(COUNTA(K119,M119,O119,Q119)=0,"",AVERAGE(K119,M119,O119,Q119))</f>
        <v>4.25</v>
      </c>
      <c r="S119" s="11" t="s">
        <v>270</v>
      </c>
      <c r="T119" s="11" t="s">
        <v>63</v>
      </c>
      <c r="U119" s="11"/>
    </row>
    <row r="120" customFormat="false" ht="30.75" hidden="false" customHeight="true" outlineLevel="0" collapsed="false">
      <c r="A120" s="7" t="n">
        <v>19</v>
      </c>
      <c r="B120" s="7" t="s">
        <v>60</v>
      </c>
      <c r="C120" s="7" t="s">
        <v>61</v>
      </c>
      <c r="D120" s="7" t="s">
        <v>62</v>
      </c>
      <c r="E120" s="7" t="s">
        <v>63</v>
      </c>
      <c r="F120" s="7" t="s">
        <v>36</v>
      </c>
      <c r="G120" s="12" t="s">
        <v>79</v>
      </c>
      <c r="H120" s="7" t="s">
        <v>9</v>
      </c>
      <c r="I120" s="0" t="s">
        <v>65</v>
      </c>
      <c r="J120" s="9" t="n">
        <v>5</v>
      </c>
      <c r="K120" s="10" t="n">
        <f aca="false">IF(J120="","",J120)</f>
        <v>5</v>
      </c>
      <c r="L120" s="9" t="n">
        <v>4</v>
      </c>
      <c r="M120" s="10" t="n">
        <f aca="false">IF(L120="","",L120)</f>
        <v>4</v>
      </c>
      <c r="N120" s="9" t="n">
        <v>4</v>
      </c>
      <c r="O120" s="10" t="n">
        <f aca="false">IF(N120="","",N120)</f>
        <v>4</v>
      </c>
      <c r="P120" s="9" t="n">
        <v>5</v>
      </c>
      <c r="Q120" s="10" t="n">
        <f aca="false">IF(P120="","",P120)</f>
        <v>5</v>
      </c>
      <c r="R120" s="10" t="n">
        <f aca="false">IF(COUNTA(K120,M120,O120,Q120)=0,"",AVERAGE(K120,M120,O120,Q120))</f>
        <v>4.5</v>
      </c>
      <c r="S120" s="11" t="s">
        <v>39</v>
      </c>
      <c r="T120" s="11" t="s">
        <v>63</v>
      </c>
      <c r="U120" s="11"/>
    </row>
    <row r="121" customFormat="false" ht="15.75" hidden="false" customHeight="true" outlineLevel="0" collapsed="false">
      <c r="A121" s="7" t="n">
        <v>20</v>
      </c>
      <c r="B121" s="7" t="s">
        <v>60</v>
      </c>
      <c r="C121" s="7" t="s">
        <v>61</v>
      </c>
      <c r="D121" s="7" t="s">
        <v>62</v>
      </c>
      <c r="E121" s="7" t="s">
        <v>63</v>
      </c>
      <c r="F121" s="7" t="s">
        <v>36</v>
      </c>
      <c r="G121" s="12" t="s">
        <v>80</v>
      </c>
      <c r="H121" s="7" t="s">
        <v>9</v>
      </c>
      <c r="I121" s="0" t="s">
        <v>273</v>
      </c>
      <c r="J121" s="9" t="n">
        <v>4</v>
      </c>
      <c r="K121" s="10" t="n">
        <f aca="false">IF(J121="","",J121)</f>
        <v>4</v>
      </c>
      <c r="L121" s="9" t="n">
        <v>5</v>
      </c>
      <c r="M121" s="10" t="n">
        <f aca="false">IF(L121="","",L121)</f>
        <v>5</v>
      </c>
      <c r="N121" s="9" t="n">
        <v>5</v>
      </c>
      <c r="O121" s="10" t="n">
        <f aca="false">IF(N121="","",N121)</f>
        <v>5</v>
      </c>
      <c r="P121" s="9" t="n">
        <v>5</v>
      </c>
      <c r="Q121" s="10" t="n">
        <f aca="false">IF(P121="","",P121)</f>
        <v>5</v>
      </c>
      <c r="R121" s="10" t="n">
        <f aca="false">IF(COUNTA(K121,M121,O121,Q121)=0,"",AVERAGE(K121,M121,O121,Q121))</f>
        <v>4.75</v>
      </c>
      <c r="S121" s="11" t="s">
        <v>270</v>
      </c>
      <c r="T121" s="11" t="s">
        <v>63</v>
      </c>
      <c r="U121" s="11"/>
    </row>
    <row r="122" customFormat="false" ht="15.75" hidden="false" customHeight="true" outlineLevel="0" collapsed="false">
      <c r="A122" s="7" t="n">
        <v>21</v>
      </c>
      <c r="B122" s="7" t="s">
        <v>82</v>
      </c>
      <c r="C122" s="7" t="s">
        <v>83</v>
      </c>
      <c r="D122" s="7" t="s">
        <v>34</v>
      </c>
      <c r="E122" s="7" t="s">
        <v>84</v>
      </c>
      <c r="F122" s="7" t="s">
        <v>36</v>
      </c>
      <c r="G122" s="12" t="s">
        <v>85</v>
      </c>
      <c r="H122" s="7" t="s">
        <v>9</v>
      </c>
      <c r="I122" s="0" t="s">
        <v>86</v>
      </c>
      <c r="J122" s="9" t="n">
        <v>5</v>
      </c>
      <c r="K122" s="10" t="n">
        <f aca="false">IF(J122="","",J122)</f>
        <v>5</v>
      </c>
      <c r="L122" s="9" t="n">
        <v>4</v>
      </c>
      <c r="M122" s="10" t="n">
        <f aca="false">IF(L122="","",L122)</f>
        <v>4</v>
      </c>
      <c r="N122" s="9" t="n">
        <v>4</v>
      </c>
      <c r="O122" s="10" t="n">
        <f aca="false">IF(N122="","",N122)</f>
        <v>4</v>
      </c>
      <c r="P122" s="9" t="n">
        <v>5</v>
      </c>
      <c r="Q122" s="10" t="n">
        <f aca="false">IF(P122="","",P122)</f>
        <v>5</v>
      </c>
      <c r="R122" s="10" t="n">
        <f aca="false">IF(COUNTA(K122,M122,O122,Q122)=0,"",AVERAGE(K122,M122,O122,Q122))</f>
        <v>4.5</v>
      </c>
      <c r="S122" s="11" t="s">
        <v>39</v>
      </c>
      <c r="T122" s="11" t="s">
        <v>87</v>
      </c>
      <c r="U122" s="11"/>
    </row>
    <row r="123" customFormat="false" ht="15.75" hidden="false" customHeight="true" outlineLevel="0" collapsed="false">
      <c r="A123" s="7" t="n">
        <v>22</v>
      </c>
      <c r="B123" s="7" t="s">
        <v>82</v>
      </c>
      <c r="C123" s="7" t="s">
        <v>83</v>
      </c>
      <c r="D123" s="7" t="s">
        <v>34</v>
      </c>
      <c r="E123" s="7" t="s">
        <v>84</v>
      </c>
      <c r="F123" s="7" t="s">
        <v>36</v>
      </c>
      <c r="G123" s="12" t="s">
        <v>88</v>
      </c>
      <c r="H123" s="7" t="s">
        <v>9</v>
      </c>
      <c r="I123" s="0" t="n">
        <v>36</v>
      </c>
      <c r="J123" s="9" t="n">
        <v>5</v>
      </c>
      <c r="K123" s="10" t="n">
        <f aca="false">IF(J123="","",J123)</f>
        <v>5</v>
      </c>
      <c r="L123" s="9" t="n">
        <v>4</v>
      </c>
      <c r="M123" s="10" t="n">
        <f aca="false">IF(L123="","",L123)</f>
        <v>4</v>
      </c>
      <c r="N123" s="9" t="n">
        <v>4</v>
      </c>
      <c r="O123" s="10" t="n">
        <f aca="false">IF(N123="","",N123)</f>
        <v>4</v>
      </c>
      <c r="P123" s="9" t="n">
        <v>5</v>
      </c>
      <c r="Q123" s="10" t="n">
        <f aca="false">IF(P123="","",P123)</f>
        <v>5</v>
      </c>
      <c r="R123" s="10" t="n">
        <f aca="false">IF(COUNTA(K123,M123,O123,Q123)=0,"",AVERAGE(K123,M123,O123,Q123))</f>
        <v>4.5</v>
      </c>
      <c r="S123" s="11" t="s">
        <v>39</v>
      </c>
      <c r="T123" s="11" t="s">
        <v>87</v>
      </c>
      <c r="U123" s="11"/>
    </row>
    <row r="124" customFormat="false" ht="15.75" hidden="false" customHeight="true" outlineLevel="0" collapsed="false">
      <c r="A124" s="7" t="n">
        <v>23</v>
      </c>
      <c r="B124" s="7" t="s">
        <v>82</v>
      </c>
      <c r="C124" s="7" t="s">
        <v>83</v>
      </c>
      <c r="D124" s="7" t="s">
        <v>34</v>
      </c>
      <c r="E124" s="7" t="s">
        <v>84</v>
      </c>
      <c r="F124" s="7" t="s">
        <v>36</v>
      </c>
      <c r="G124" s="12" t="s">
        <v>89</v>
      </c>
      <c r="H124" s="7" t="s">
        <v>9</v>
      </c>
      <c r="I124" s="0" t="n">
        <v>96</v>
      </c>
      <c r="J124" s="9" t="n">
        <v>5</v>
      </c>
      <c r="K124" s="10" t="n">
        <f aca="false">IF(J124="","",J124)</f>
        <v>5</v>
      </c>
      <c r="L124" s="9" t="n">
        <v>4</v>
      </c>
      <c r="M124" s="10" t="n">
        <f aca="false">IF(L124="","",L124)</f>
        <v>4</v>
      </c>
      <c r="N124" s="9" t="n">
        <v>4</v>
      </c>
      <c r="O124" s="10" t="n">
        <f aca="false">IF(N124="","",N124)</f>
        <v>4</v>
      </c>
      <c r="P124" s="9" t="n">
        <v>5</v>
      </c>
      <c r="Q124" s="10" t="n">
        <f aca="false">IF(P124="","",P124)</f>
        <v>5</v>
      </c>
      <c r="R124" s="10" t="n">
        <f aca="false">IF(COUNTA(K124,M124,O124,Q124)=0,"",AVERAGE(K124,M124,O124,Q124))</f>
        <v>4.5</v>
      </c>
      <c r="S124" s="11" t="s">
        <v>39</v>
      </c>
      <c r="T124" s="11" t="s">
        <v>87</v>
      </c>
      <c r="U124" s="11"/>
    </row>
    <row r="125" customFormat="false" ht="15.75" hidden="false" customHeight="true" outlineLevel="0" collapsed="false">
      <c r="A125" s="7" t="n">
        <v>24</v>
      </c>
      <c r="B125" s="7" t="s">
        <v>82</v>
      </c>
      <c r="C125" s="7" t="s">
        <v>83</v>
      </c>
      <c r="D125" s="7" t="s">
        <v>34</v>
      </c>
      <c r="E125" s="7" t="s">
        <v>84</v>
      </c>
      <c r="F125" s="7" t="s">
        <v>36</v>
      </c>
      <c r="G125" s="12" t="s">
        <v>90</v>
      </c>
      <c r="H125" s="7" t="s">
        <v>9</v>
      </c>
      <c r="I125" s="0" t="n">
        <v>25</v>
      </c>
      <c r="J125" s="9" t="n">
        <v>5</v>
      </c>
      <c r="K125" s="10" t="n">
        <f aca="false">IF(J125="","",J125)</f>
        <v>5</v>
      </c>
      <c r="L125" s="9" t="n">
        <v>4</v>
      </c>
      <c r="M125" s="10" t="n">
        <f aca="false">IF(L125="","",L125)</f>
        <v>4</v>
      </c>
      <c r="N125" s="9" t="n">
        <v>4</v>
      </c>
      <c r="O125" s="10" t="n">
        <f aca="false">IF(N125="","",N125)</f>
        <v>4</v>
      </c>
      <c r="P125" s="9" t="n">
        <v>5</v>
      </c>
      <c r="Q125" s="10" t="n">
        <f aca="false">IF(P125="","",P125)</f>
        <v>5</v>
      </c>
      <c r="R125" s="10" t="n">
        <f aca="false">IF(COUNTA(K125,M125,O125,Q125)=0,"",AVERAGE(K125,M125,O125,Q125))</f>
        <v>4.5</v>
      </c>
      <c r="S125" s="11" t="s">
        <v>39</v>
      </c>
      <c r="T125" s="11" t="s">
        <v>87</v>
      </c>
      <c r="U125" s="11"/>
    </row>
    <row r="126" customFormat="false" ht="15.75" hidden="false" customHeight="true" outlineLevel="0" collapsed="false">
      <c r="A126" s="7" t="n">
        <v>25</v>
      </c>
      <c r="B126" s="7" t="s">
        <v>82</v>
      </c>
      <c r="C126" s="7" t="s">
        <v>83</v>
      </c>
      <c r="D126" s="7" t="s">
        <v>34</v>
      </c>
      <c r="E126" s="7" t="s">
        <v>84</v>
      </c>
      <c r="F126" s="7" t="s">
        <v>36</v>
      </c>
      <c r="G126" s="12" t="s">
        <v>91</v>
      </c>
      <c r="H126" s="7" t="s">
        <v>9</v>
      </c>
      <c r="I126" s="0" t="n">
        <v>12</v>
      </c>
      <c r="J126" s="9" t="n">
        <v>5</v>
      </c>
      <c r="K126" s="10" t="n">
        <f aca="false">IF(J126="","",J126)</f>
        <v>5</v>
      </c>
      <c r="L126" s="9" t="n">
        <v>4</v>
      </c>
      <c r="M126" s="10" t="n">
        <f aca="false">IF(L126="","",L126)</f>
        <v>4</v>
      </c>
      <c r="N126" s="9" t="n">
        <v>4</v>
      </c>
      <c r="O126" s="10" t="n">
        <f aca="false">IF(N126="","",N126)</f>
        <v>4</v>
      </c>
      <c r="P126" s="9" t="n">
        <v>5</v>
      </c>
      <c r="Q126" s="10" t="n">
        <f aca="false">IF(P126="","",P126)</f>
        <v>5</v>
      </c>
      <c r="R126" s="10" t="n">
        <f aca="false">IF(COUNTA(K126,M126,O126,Q126)=0,"",AVERAGE(K126,M126,O126,Q126))</f>
        <v>4.5</v>
      </c>
      <c r="S126" s="11" t="s">
        <v>39</v>
      </c>
      <c r="T126" s="11" t="s">
        <v>87</v>
      </c>
      <c r="U126" s="11"/>
    </row>
    <row r="127" customFormat="false" ht="30.75" hidden="false" customHeight="true" outlineLevel="0" collapsed="false">
      <c r="A127" s="7" t="n">
        <v>26</v>
      </c>
      <c r="B127" s="7" t="s">
        <v>82</v>
      </c>
      <c r="C127" s="7" t="s">
        <v>83</v>
      </c>
      <c r="D127" s="7" t="s">
        <v>34</v>
      </c>
      <c r="E127" s="7" t="s">
        <v>84</v>
      </c>
      <c r="F127" s="7" t="s">
        <v>36</v>
      </c>
      <c r="G127" s="12" t="s">
        <v>92</v>
      </c>
      <c r="H127" s="7" t="s">
        <v>9</v>
      </c>
      <c r="I127" s="0" t="s">
        <v>93</v>
      </c>
      <c r="J127" s="9" t="n">
        <v>5</v>
      </c>
      <c r="K127" s="10" t="n">
        <f aca="false">IF(J127="","",J127)</f>
        <v>5</v>
      </c>
      <c r="L127" s="9" t="n">
        <v>4</v>
      </c>
      <c r="M127" s="10" t="n">
        <f aca="false">IF(L127="","",L127)</f>
        <v>4</v>
      </c>
      <c r="N127" s="9" t="n">
        <v>4</v>
      </c>
      <c r="O127" s="10" t="n">
        <f aca="false">IF(N127="","",N127)</f>
        <v>4</v>
      </c>
      <c r="P127" s="9" t="n">
        <v>5</v>
      </c>
      <c r="Q127" s="10" t="n">
        <f aca="false">IF(P127="","",P127)</f>
        <v>5</v>
      </c>
      <c r="R127" s="10" t="n">
        <f aca="false">IF(COUNTA(K127,M127,O127,Q127)=0,"",AVERAGE(K127,M127,O127,Q127))</f>
        <v>4.5</v>
      </c>
      <c r="S127" s="11" t="s">
        <v>39</v>
      </c>
      <c r="T127" s="11" t="s">
        <v>94</v>
      </c>
      <c r="U127" s="11"/>
    </row>
    <row r="128" customFormat="false" ht="15.75" hidden="false" customHeight="true" outlineLevel="0" collapsed="false">
      <c r="A128" s="7" t="n">
        <v>27</v>
      </c>
      <c r="B128" s="7" t="s">
        <v>82</v>
      </c>
      <c r="C128" s="7" t="s">
        <v>83</v>
      </c>
      <c r="D128" s="7" t="s">
        <v>34</v>
      </c>
      <c r="E128" s="7" t="s">
        <v>84</v>
      </c>
      <c r="F128" s="7" t="s">
        <v>36</v>
      </c>
      <c r="G128" s="12" t="s">
        <v>95</v>
      </c>
      <c r="H128" s="7" t="s">
        <v>9</v>
      </c>
      <c r="I128" s="0" t="n">
        <v>36</v>
      </c>
      <c r="J128" s="9" t="n">
        <v>5</v>
      </c>
      <c r="K128" s="10" t="n">
        <f aca="false">IF(J128="","",J128)</f>
        <v>5</v>
      </c>
      <c r="L128" s="9" t="n">
        <v>4</v>
      </c>
      <c r="M128" s="10" t="n">
        <f aca="false">IF(L128="","",L128)</f>
        <v>4</v>
      </c>
      <c r="N128" s="9" t="n">
        <v>4</v>
      </c>
      <c r="O128" s="10" t="n">
        <f aca="false">IF(N128="","",N128)</f>
        <v>4</v>
      </c>
      <c r="P128" s="9" t="n">
        <v>5</v>
      </c>
      <c r="Q128" s="10" t="n">
        <f aca="false">IF(P128="","",P128)</f>
        <v>5</v>
      </c>
      <c r="R128" s="10" t="n">
        <f aca="false">IF(COUNTA(K128,M128,O128,Q128)=0,"",AVERAGE(K128,M128,O128,Q128))</f>
        <v>4.5</v>
      </c>
      <c r="S128" s="11" t="s">
        <v>39</v>
      </c>
      <c r="T128" s="11" t="s">
        <v>87</v>
      </c>
      <c r="U128" s="11"/>
    </row>
    <row r="129" customFormat="false" ht="30.75" hidden="false" customHeight="true" outlineLevel="0" collapsed="false">
      <c r="A129" s="7" t="n">
        <v>28</v>
      </c>
      <c r="B129" s="7" t="s">
        <v>82</v>
      </c>
      <c r="C129" s="7" t="s">
        <v>83</v>
      </c>
      <c r="D129" s="7" t="s">
        <v>34</v>
      </c>
      <c r="E129" s="7" t="s">
        <v>84</v>
      </c>
      <c r="F129" s="7" t="s">
        <v>36</v>
      </c>
      <c r="G129" s="12" t="s">
        <v>96</v>
      </c>
      <c r="H129" s="7" t="s">
        <v>9</v>
      </c>
      <c r="I129" s="0" t="s">
        <v>97</v>
      </c>
      <c r="J129" s="9" t="n">
        <v>5</v>
      </c>
      <c r="K129" s="10" t="n">
        <f aca="false">IF(J129="","",J129)</f>
        <v>5</v>
      </c>
      <c r="L129" s="9" t="n">
        <v>4</v>
      </c>
      <c r="M129" s="10" t="n">
        <f aca="false">IF(L129="","",L129)</f>
        <v>4</v>
      </c>
      <c r="N129" s="9" t="n">
        <v>4</v>
      </c>
      <c r="O129" s="10" t="n">
        <f aca="false">IF(N129="","",N129)</f>
        <v>4</v>
      </c>
      <c r="P129" s="9" t="n">
        <v>5</v>
      </c>
      <c r="Q129" s="10" t="n">
        <f aca="false">IF(P129="","",P129)</f>
        <v>5</v>
      </c>
      <c r="R129" s="10" t="n">
        <f aca="false">IF(COUNTA(K129,M129,O129,Q129)=0,"",AVERAGE(K129,M129,O129,Q129))</f>
        <v>4.5</v>
      </c>
      <c r="S129" s="11" t="s">
        <v>39</v>
      </c>
      <c r="T129" s="11" t="s">
        <v>87</v>
      </c>
      <c r="U129" s="11"/>
    </row>
    <row r="130" customFormat="false" ht="15.75" hidden="false" customHeight="true" outlineLevel="0" collapsed="false">
      <c r="A130" s="7" t="n">
        <v>29</v>
      </c>
      <c r="B130" s="7" t="s">
        <v>82</v>
      </c>
      <c r="C130" s="7" t="s">
        <v>83</v>
      </c>
      <c r="D130" s="7" t="s">
        <v>34</v>
      </c>
      <c r="E130" s="7" t="s">
        <v>84</v>
      </c>
      <c r="F130" s="7" t="s">
        <v>36</v>
      </c>
      <c r="G130" s="12" t="s">
        <v>98</v>
      </c>
      <c r="H130" s="7" t="s">
        <v>9</v>
      </c>
      <c r="I130" s="0" t="s">
        <v>99</v>
      </c>
      <c r="J130" s="9" t="n">
        <v>5</v>
      </c>
      <c r="K130" s="10" t="n">
        <f aca="false">IF(J130="","",J130)</f>
        <v>5</v>
      </c>
      <c r="L130" s="9" t="n">
        <v>4</v>
      </c>
      <c r="M130" s="10" t="n">
        <f aca="false">IF(L130="","",L130)</f>
        <v>4</v>
      </c>
      <c r="N130" s="9" t="n">
        <v>4</v>
      </c>
      <c r="O130" s="10" t="n">
        <f aca="false">IF(N130="","",N130)</f>
        <v>4</v>
      </c>
      <c r="P130" s="9" t="n">
        <v>5</v>
      </c>
      <c r="Q130" s="10" t="n">
        <f aca="false">IF(P130="","",P130)</f>
        <v>5</v>
      </c>
      <c r="R130" s="10" t="n">
        <f aca="false">IF(COUNTA(K130,M130,O130,Q130)=0,"",AVERAGE(K130,M130,O130,Q130))</f>
        <v>4.5</v>
      </c>
      <c r="S130" s="11" t="s">
        <v>39</v>
      </c>
      <c r="T130" s="11" t="s">
        <v>87</v>
      </c>
      <c r="U130" s="11"/>
    </row>
    <row r="131" customFormat="false" ht="15.75" hidden="false" customHeight="true" outlineLevel="0" collapsed="false">
      <c r="A131" s="7" t="n">
        <v>30</v>
      </c>
      <c r="B131" s="7" t="s">
        <v>82</v>
      </c>
      <c r="C131" s="7" t="s">
        <v>83</v>
      </c>
      <c r="D131" s="7" t="s">
        <v>34</v>
      </c>
      <c r="E131" s="7" t="s">
        <v>84</v>
      </c>
      <c r="F131" s="7" t="s">
        <v>36</v>
      </c>
      <c r="G131" s="12" t="s">
        <v>100</v>
      </c>
      <c r="H131" s="7" t="s">
        <v>9</v>
      </c>
      <c r="I131" s="0" t="n">
        <v>49</v>
      </c>
      <c r="J131" s="9" t="n">
        <v>5</v>
      </c>
      <c r="K131" s="10" t="n">
        <f aca="false">IF(J131="","",J131)</f>
        <v>5</v>
      </c>
      <c r="L131" s="9" t="n">
        <v>4</v>
      </c>
      <c r="M131" s="10" t="n">
        <f aca="false">IF(L131="","",L131)</f>
        <v>4</v>
      </c>
      <c r="N131" s="9" t="n">
        <v>4</v>
      </c>
      <c r="O131" s="10" t="n">
        <f aca="false">IF(N131="","",N131)</f>
        <v>4</v>
      </c>
      <c r="P131" s="9" t="n">
        <v>5</v>
      </c>
      <c r="Q131" s="10" t="n">
        <f aca="false">IF(P131="","",P131)</f>
        <v>5</v>
      </c>
      <c r="R131" s="10" t="n">
        <f aca="false">IF(COUNTA(K131,M131,O131,Q131)=0,"",AVERAGE(K131,M131,O131,Q131))</f>
        <v>4.5</v>
      </c>
      <c r="S131" s="11" t="s">
        <v>39</v>
      </c>
      <c r="T131" s="11" t="s">
        <v>87</v>
      </c>
      <c r="U131" s="11"/>
    </row>
    <row r="132" customFormat="false" ht="45.75" hidden="false" customHeight="true" outlineLevel="0" collapsed="false">
      <c r="A132" s="7" t="n">
        <v>31</v>
      </c>
      <c r="B132" s="7" t="s">
        <v>101</v>
      </c>
      <c r="C132" s="7" t="s">
        <v>102</v>
      </c>
      <c r="D132" s="7" t="s">
        <v>62</v>
      </c>
      <c r="E132" s="7" t="s">
        <v>103</v>
      </c>
      <c r="F132" s="7" t="s">
        <v>36</v>
      </c>
      <c r="G132" s="12" t="s">
        <v>104</v>
      </c>
      <c r="H132" s="7" t="s">
        <v>9</v>
      </c>
      <c r="I132" s="0" t="s">
        <v>274</v>
      </c>
      <c r="J132" s="9" t="n">
        <v>4</v>
      </c>
      <c r="K132" s="10" t="n">
        <f aca="false">IF(J132="","",J132)</f>
        <v>4</v>
      </c>
      <c r="L132" s="9" t="n">
        <v>4</v>
      </c>
      <c r="M132" s="10" t="n">
        <f aca="false">IF(L132="","",L132)</f>
        <v>4</v>
      </c>
      <c r="N132" s="9" t="n">
        <v>5</v>
      </c>
      <c r="O132" s="10" t="n">
        <f aca="false">IF(N132="","",N132)</f>
        <v>5</v>
      </c>
      <c r="P132" s="9" t="n">
        <v>5</v>
      </c>
      <c r="Q132" s="10" t="n">
        <f aca="false">IF(P132="","",P132)</f>
        <v>5</v>
      </c>
      <c r="R132" s="10" t="n">
        <f aca="false">IF(COUNTA(K132,M132,O132,Q132)=0,"",AVERAGE(K132,M132,O132,Q132))</f>
        <v>4.5</v>
      </c>
      <c r="S132" s="11" t="s">
        <v>270</v>
      </c>
      <c r="T132" s="11" t="s">
        <v>106</v>
      </c>
      <c r="U132" s="11"/>
    </row>
    <row r="133" customFormat="false" ht="45.75" hidden="false" customHeight="true" outlineLevel="0" collapsed="false">
      <c r="A133" s="7" t="n">
        <v>32</v>
      </c>
      <c r="B133" s="7" t="s">
        <v>101</v>
      </c>
      <c r="C133" s="7" t="s">
        <v>102</v>
      </c>
      <c r="D133" s="7" t="s">
        <v>62</v>
      </c>
      <c r="E133" s="7" t="s">
        <v>103</v>
      </c>
      <c r="F133" s="7" t="s">
        <v>36</v>
      </c>
      <c r="G133" s="12" t="s">
        <v>107</v>
      </c>
      <c r="H133" s="7" t="s">
        <v>9</v>
      </c>
      <c r="I133" s="0" t="s">
        <v>108</v>
      </c>
      <c r="J133" s="9" t="n">
        <v>5</v>
      </c>
      <c r="K133" s="10" t="n">
        <f aca="false">IF(J133="","",J133)</f>
        <v>5</v>
      </c>
      <c r="L133" s="9" t="n">
        <v>5</v>
      </c>
      <c r="M133" s="10" t="n">
        <f aca="false">IF(L133="","",L133)</f>
        <v>5</v>
      </c>
      <c r="N133" s="9" t="n">
        <v>5</v>
      </c>
      <c r="O133" s="10" t="n">
        <f aca="false">IF(N133="","",N133)</f>
        <v>5</v>
      </c>
      <c r="P133" s="9" t="n">
        <v>5</v>
      </c>
      <c r="Q133" s="10" t="n">
        <f aca="false">IF(P133="","",P133)</f>
        <v>5</v>
      </c>
      <c r="R133" s="10" t="n">
        <f aca="false">IF(COUNTA(K133,M133,O133,Q133)=0,"",AVERAGE(K133,M133,O133,Q133))</f>
        <v>5</v>
      </c>
      <c r="S133" s="11" t="s">
        <v>39</v>
      </c>
      <c r="T133" s="11" t="s">
        <v>106</v>
      </c>
      <c r="U133" s="11"/>
    </row>
    <row r="134" customFormat="false" ht="45.75" hidden="false" customHeight="true" outlineLevel="0" collapsed="false">
      <c r="A134" s="7" t="n">
        <v>33</v>
      </c>
      <c r="B134" s="7" t="s">
        <v>101</v>
      </c>
      <c r="C134" s="7" t="s">
        <v>102</v>
      </c>
      <c r="D134" s="7" t="s">
        <v>62</v>
      </c>
      <c r="E134" s="7" t="s">
        <v>103</v>
      </c>
      <c r="F134" s="7" t="s">
        <v>36</v>
      </c>
      <c r="G134" s="12" t="s">
        <v>109</v>
      </c>
      <c r="H134" s="7" t="s">
        <v>9</v>
      </c>
      <c r="I134" s="0" t="s">
        <v>110</v>
      </c>
      <c r="J134" s="9" t="n">
        <v>5</v>
      </c>
      <c r="K134" s="10" t="n">
        <f aca="false">IF(J134="","",J134)</f>
        <v>5</v>
      </c>
      <c r="L134" s="9" t="n">
        <v>4</v>
      </c>
      <c r="M134" s="10" t="n">
        <f aca="false">IF(L134="","",L134)</f>
        <v>4</v>
      </c>
      <c r="N134" s="9" t="n">
        <v>4</v>
      </c>
      <c r="O134" s="10" t="n">
        <f aca="false">IF(N134="","",N134)</f>
        <v>4</v>
      </c>
      <c r="P134" s="9" t="n">
        <v>5</v>
      </c>
      <c r="Q134" s="10" t="n">
        <f aca="false">IF(P134="","",P134)</f>
        <v>5</v>
      </c>
      <c r="R134" s="10" t="n">
        <f aca="false">IF(COUNTA(K134,M134,O134,Q134)=0,"",AVERAGE(K134,M134,O134,Q134))</f>
        <v>4.5</v>
      </c>
      <c r="S134" s="11" t="s">
        <v>39</v>
      </c>
      <c r="T134" s="11" t="s">
        <v>106</v>
      </c>
      <c r="U134" s="11"/>
    </row>
    <row r="135" customFormat="false" ht="45.75" hidden="false" customHeight="true" outlineLevel="0" collapsed="false">
      <c r="A135" s="7" t="n">
        <v>34</v>
      </c>
      <c r="B135" s="7" t="s">
        <v>101</v>
      </c>
      <c r="C135" s="7" t="s">
        <v>102</v>
      </c>
      <c r="D135" s="7" t="s">
        <v>62</v>
      </c>
      <c r="E135" s="7" t="s">
        <v>103</v>
      </c>
      <c r="F135" s="7" t="s">
        <v>36</v>
      </c>
      <c r="G135" s="12" t="s">
        <v>111</v>
      </c>
      <c r="H135" s="7" t="s">
        <v>9</v>
      </c>
      <c r="I135" s="0" t="s">
        <v>112</v>
      </c>
      <c r="J135" s="9" t="n">
        <v>5</v>
      </c>
      <c r="K135" s="10" t="n">
        <f aca="false">IF(J135="","",J135)</f>
        <v>5</v>
      </c>
      <c r="L135" s="9" t="n">
        <v>5</v>
      </c>
      <c r="M135" s="10" t="n">
        <f aca="false">IF(L135="","",L135)</f>
        <v>5</v>
      </c>
      <c r="N135" s="9" t="n">
        <v>5</v>
      </c>
      <c r="O135" s="10" t="n">
        <f aca="false">IF(N135="","",N135)</f>
        <v>5</v>
      </c>
      <c r="P135" s="9" t="n">
        <v>5</v>
      </c>
      <c r="Q135" s="10" t="n">
        <f aca="false">IF(P135="","",P135)</f>
        <v>5</v>
      </c>
      <c r="R135" s="10" t="n">
        <f aca="false">IF(COUNTA(K135,M135,O135,Q135)=0,"",AVERAGE(K135,M135,O135,Q135))</f>
        <v>5</v>
      </c>
      <c r="S135" s="11" t="s">
        <v>39</v>
      </c>
      <c r="T135" s="11" t="s">
        <v>106</v>
      </c>
      <c r="U135" s="11"/>
    </row>
    <row r="136" customFormat="false" ht="60.75" hidden="false" customHeight="true" outlineLevel="0" collapsed="false">
      <c r="A136" s="7" t="n">
        <v>35</v>
      </c>
      <c r="B136" s="7" t="s">
        <v>101</v>
      </c>
      <c r="C136" s="7" t="s">
        <v>102</v>
      </c>
      <c r="D136" s="7" t="s">
        <v>62</v>
      </c>
      <c r="E136" s="7" t="s">
        <v>103</v>
      </c>
      <c r="F136" s="7" t="s">
        <v>36</v>
      </c>
      <c r="G136" s="12" t="s">
        <v>113</v>
      </c>
      <c r="H136" s="7" t="s">
        <v>9</v>
      </c>
      <c r="I136" s="0" t="s">
        <v>275</v>
      </c>
      <c r="J136" s="9" t="n">
        <v>4</v>
      </c>
      <c r="K136" s="10" t="n">
        <f aca="false">IF(J136="","",J136)</f>
        <v>4</v>
      </c>
      <c r="L136" s="9" t="n">
        <v>4</v>
      </c>
      <c r="M136" s="10" t="n">
        <f aca="false">IF(L136="","",L136)</f>
        <v>4</v>
      </c>
      <c r="N136" s="9" t="n">
        <v>4</v>
      </c>
      <c r="O136" s="10" t="n">
        <f aca="false">IF(N136="","",N136)</f>
        <v>4</v>
      </c>
      <c r="P136" s="9" t="n">
        <v>5</v>
      </c>
      <c r="Q136" s="10" t="n">
        <f aca="false">IF(P136="","",P136)</f>
        <v>5</v>
      </c>
      <c r="R136" s="10" t="n">
        <f aca="false">IF(COUNTA(K136,M136,O136,Q136)=0,"",AVERAGE(K136,M136,O136,Q136))</f>
        <v>4.25</v>
      </c>
      <c r="S136" s="11" t="s">
        <v>270</v>
      </c>
      <c r="T136" s="11" t="s">
        <v>106</v>
      </c>
      <c r="U136" s="11"/>
    </row>
    <row r="137" customFormat="false" ht="45.75" hidden="false" customHeight="true" outlineLevel="0" collapsed="false">
      <c r="A137" s="7" t="n">
        <v>36</v>
      </c>
      <c r="B137" s="7" t="s">
        <v>101</v>
      </c>
      <c r="C137" s="7" t="s">
        <v>102</v>
      </c>
      <c r="D137" s="7" t="s">
        <v>62</v>
      </c>
      <c r="E137" s="7" t="s">
        <v>103</v>
      </c>
      <c r="F137" s="7" t="s">
        <v>36</v>
      </c>
      <c r="G137" s="12" t="s">
        <v>115</v>
      </c>
      <c r="H137" s="7" t="s">
        <v>9</v>
      </c>
      <c r="I137" s="0" t="s">
        <v>116</v>
      </c>
      <c r="J137" s="9" t="n">
        <v>5</v>
      </c>
      <c r="K137" s="10" t="n">
        <f aca="false">IF(J137="","",J137)</f>
        <v>5</v>
      </c>
      <c r="L137" s="9" t="n">
        <v>4</v>
      </c>
      <c r="M137" s="10" t="n">
        <f aca="false">IF(L137="","",L137)</f>
        <v>4</v>
      </c>
      <c r="N137" s="9" t="n">
        <v>4</v>
      </c>
      <c r="O137" s="10" t="n">
        <f aca="false">IF(N137="","",N137)</f>
        <v>4</v>
      </c>
      <c r="P137" s="9" t="n">
        <v>5</v>
      </c>
      <c r="Q137" s="10" t="n">
        <f aca="false">IF(P137="","",P137)</f>
        <v>5</v>
      </c>
      <c r="R137" s="10" t="n">
        <f aca="false">IF(COUNTA(K137,M137,O137,Q137)=0,"",AVERAGE(K137,M137,O137,Q137))</f>
        <v>4.5</v>
      </c>
      <c r="S137" s="11" t="s">
        <v>39</v>
      </c>
      <c r="T137" s="11" t="s">
        <v>106</v>
      </c>
      <c r="U137" s="11"/>
    </row>
    <row r="138" customFormat="false" ht="45.75" hidden="false" customHeight="true" outlineLevel="0" collapsed="false">
      <c r="A138" s="7" t="n">
        <v>37</v>
      </c>
      <c r="B138" s="7" t="s">
        <v>101</v>
      </c>
      <c r="C138" s="7" t="s">
        <v>102</v>
      </c>
      <c r="D138" s="7" t="s">
        <v>62</v>
      </c>
      <c r="E138" s="7" t="s">
        <v>103</v>
      </c>
      <c r="F138" s="7" t="s">
        <v>36</v>
      </c>
      <c r="G138" s="12" t="s">
        <v>117</v>
      </c>
      <c r="H138" s="7" t="s">
        <v>9</v>
      </c>
      <c r="I138" s="0" t="s">
        <v>118</v>
      </c>
      <c r="J138" s="9" t="n">
        <v>5</v>
      </c>
      <c r="K138" s="10" t="n">
        <f aca="false">IF(J138="","",J138)</f>
        <v>5</v>
      </c>
      <c r="L138" s="9" t="n">
        <v>5</v>
      </c>
      <c r="M138" s="10" t="n">
        <f aca="false">IF(L138="","",L138)</f>
        <v>5</v>
      </c>
      <c r="N138" s="9" t="n">
        <v>5</v>
      </c>
      <c r="O138" s="10" t="n">
        <f aca="false">IF(N138="","",N138)</f>
        <v>5</v>
      </c>
      <c r="P138" s="9" t="n">
        <v>5</v>
      </c>
      <c r="Q138" s="10" t="n">
        <f aca="false">IF(P138="","",P138)</f>
        <v>5</v>
      </c>
      <c r="R138" s="10" t="n">
        <f aca="false">IF(COUNTA(K138,M138,O138,Q138)=0,"",AVERAGE(K138,M138,O138,Q138))</f>
        <v>5</v>
      </c>
      <c r="S138" s="11" t="s">
        <v>39</v>
      </c>
      <c r="T138" s="11" t="s">
        <v>106</v>
      </c>
      <c r="U138" s="11"/>
    </row>
    <row r="139" customFormat="false" ht="45.75" hidden="false" customHeight="true" outlineLevel="0" collapsed="false">
      <c r="A139" s="7" t="n">
        <v>38</v>
      </c>
      <c r="B139" s="7" t="s">
        <v>101</v>
      </c>
      <c r="C139" s="7" t="s">
        <v>102</v>
      </c>
      <c r="D139" s="7" t="s">
        <v>62</v>
      </c>
      <c r="E139" s="7" t="s">
        <v>103</v>
      </c>
      <c r="F139" s="7" t="s">
        <v>36</v>
      </c>
      <c r="G139" s="12" t="s">
        <v>119</v>
      </c>
      <c r="H139" s="7" t="s">
        <v>9</v>
      </c>
      <c r="I139" s="0" t="s">
        <v>120</v>
      </c>
      <c r="J139" s="9" t="n">
        <v>5</v>
      </c>
      <c r="K139" s="10" t="n">
        <f aca="false">IF(J139="","",J139)</f>
        <v>5</v>
      </c>
      <c r="L139" s="9" t="n">
        <v>4</v>
      </c>
      <c r="M139" s="10" t="n">
        <f aca="false">IF(L139="","",L139)</f>
        <v>4</v>
      </c>
      <c r="N139" s="9" t="n">
        <v>5</v>
      </c>
      <c r="O139" s="10" t="n">
        <f aca="false">IF(N139="","",N139)</f>
        <v>5</v>
      </c>
      <c r="P139" s="9" t="n">
        <v>5</v>
      </c>
      <c r="Q139" s="10" t="n">
        <f aca="false">IF(P139="","",P139)</f>
        <v>5</v>
      </c>
      <c r="R139" s="10" t="n">
        <f aca="false">IF(COUNTA(K139,M139,O139,Q139)=0,"",AVERAGE(K139,M139,O139,Q139))</f>
        <v>4.75</v>
      </c>
      <c r="S139" s="11" t="s">
        <v>39</v>
      </c>
      <c r="T139" s="11" t="s">
        <v>106</v>
      </c>
      <c r="U139" s="11"/>
    </row>
    <row r="140" customFormat="false" ht="45.75" hidden="false" customHeight="true" outlineLevel="0" collapsed="false">
      <c r="A140" s="7" t="n">
        <v>39</v>
      </c>
      <c r="B140" s="7" t="s">
        <v>101</v>
      </c>
      <c r="C140" s="7" t="s">
        <v>102</v>
      </c>
      <c r="D140" s="7" t="s">
        <v>62</v>
      </c>
      <c r="E140" s="7" t="s">
        <v>103</v>
      </c>
      <c r="F140" s="7" t="s">
        <v>36</v>
      </c>
      <c r="G140" s="12" t="s">
        <v>121</v>
      </c>
      <c r="H140" s="7" t="s">
        <v>9</v>
      </c>
      <c r="I140" s="0" t="s">
        <v>276</v>
      </c>
      <c r="J140" s="9" t="n">
        <v>5</v>
      </c>
      <c r="K140" s="10" t="n">
        <f aca="false">IF(J140="","",J140)</f>
        <v>5</v>
      </c>
      <c r="L140" s="9" t="n">
        <v>5</v>
      </c>
      <c r="M140" s="10" t="n">
        <f aca="false">IF(L140="","",L140)</f>
        <v>5</v>
      </c>
      <c r="N140" s="9" t="n">
        <v>5</v>
      </c>
      <c r="O140" s="10" t="n">
        <f aca="false">IF(N140="","",N140)</f>
        <v>5</v>
      </c>
      <c r="P140" s="9" t="n">
        <v>5</v>
      </c>
      <c r="Q140" s="10" t="n">
        <f aca="false">IF(P140="","",P140)</f>
        <v>5</v>
      </c>
      <c r="R140" s="10" t="n">
        <f aca="false">IF(COUNTA(K140,M140,O140,Q140)=0,"",AVERAGE(K140,M140,O140,Q140))</f>
        <v>5</v>
      </c>
      <c r="S140" s="11" t="s">
        <v>39</v>
      </c>
      <c r="T140" s="11" t="s">
        <v>106</v>
      </c>
      <c r="U140" s="11"/>
    </row>
    <row r="141" customFormat="false" ht="45.75" hidden="false" customHeight="true" outlineLevel="0" collapsed="false">
      <c r="A141" s="7" t="n">
        <v>40</v>
      </c>
      <c r="B141" s="7" t="s">
        <v>101</v>
      </c>
      <c r="C141" s="7" t="s">
        <v>102</v>
      </c>
      <c r="D141" s="7" t="s">
        <v>62</v>
      </c>
      <c r="E141" s="7" t="s">
        <v>103</v>
      </c>
      <c r="F141" s="7" t="s">
        <v>36</v>
      </c>
      <c r="G141" s="12" t="s">
        <v>123</v>
      </c>
      <c r="H141" s="7" t="s">
        <v>9</v>
      </c>
      <c r="I141" s="0" t="s">
        <v>277</v>
      </c>
      <c r="J141" s="9" t="n">
        <v>5</v>
      </c>
      <c r="K141" s="10" t="n">
        <f aca="false">IF(J141="","",J141)</f>
        <v>5</v>
      </c>
      <c r="L141" s="9" t="n">
        <v>4</v>
      </c>
      <c r="M141" s="10" t="n">
        <f aca="false">IF(L141="","",L141)</f>
        <v>4</v>
      </c>
      <c r="N141" s="9" t="n">
        <v>5</v>
      </c>
      <c r="O141" s="10" t="n">
        <f aca="false">IF(N141="","",N141)</f>
        <v>5</v>
      </c>
      <c r="P141" s="9" t="n">
        <v>5</v>
      </c>
      <c r="Q141" s="10" t="n">
        <f aca="false">IF(P141="","",P141)</f>
        <v>5</v>
      </c>
      <c r="R141" s="10" t="n">
        <f aca="false">IF(COUNTA(K141,M141,O141,Q141)=0,"",AVERAGE(K141,M141,O141,Q141))</f>
        <v>4.75</v>
      </c>
      <c r="S141" s="11" t="s">
        <v>39</v>
      </c>
      <c r="T141" s="11" t="s">
        <v>106</v>
      </c>
      <c r="U141" s="11"/>
    </row>
    <row r="142" customFormat="false" ht="15.75" hidden="false" customHeight="true" outlineLevel="0" collapsed="false">
      <c r="A142" s="7" t="n">
        <v>41</v>
      </c>
      <c r="B142" s="7" t="s">
        <v>125</v>
      </c>
      <c r="C142" s="7" t="s">
        <v>126</v>
      </c>
      <c r="D142" s="7" t="s">
        <v>34</v>
      </c>
      <c r="E142" s="7" t="s">
        <v>127</v>
      </c>
      <c r="F142" s="7" t="s">
        <v>128</v>
      </c>
      <c r="G142" s="12" t="s">
        <v>129</v>
      </c>
      <c r="H142" s="7" t="s">
        <v>9</v>
      </c>
      <c r="I142" s="0" t="s">
        <v>278</v>
      </c>
      <c r="J142" s="9" t="n">
        <v>4</v>
      </c>
      <c r="K142" s="10" t="n">
        <f aca="false">IF(J142="","",J142)</f>
        <v>4</v>
      </c>
      <c r="L142" s="9" t="n">
        <v>4</v>
      </c>
      <c r="M142" s="10" t="n">
        <f aca="false">IF(L142="","",L142)</f>
        <v>4</v>
      </c>
      <c r="N142" s="9" t="n">
        <v>5</v>
      </c>
      <c r="O142" s="10" t="n">
        <f aca="false">IF(N142="","",N142)</f>
        <v>5</v>
      </c>
      <c r="P142" s="9" t="n">
        <v>5</v>
      </c>
      <c r="Q142" s="10" t="n">
        <f aca="false">IF(P142="","",P142)</f>
        <v>5</v>
      </c>
      <c r="R142" s="10" t="n">
        <f aca="false">IF(COUNTA(K142,M142,O142,Q142)=0,"",AVERAGE(K142,M142,O142,Q142))</f>
        <v>4.5</v>
      </c>
      <c r="S142" s="11" t="s">
        <v>39</v>
      </c>
      <c r="T142" s="11" t="s">
        <v>131</v>
      </c>
      <c r="U142" s="11"/>
    </row>
    <row r="143" customFormat="false" ht="15.75" hidden="false" customHeight="true" outlineLevel="0" collapsed="false">
      <c r="A143" s="7" t="n">
        <v>42</v>
      </c>
      <c r="B143" s="7" t="s">
        <v>125</v>
      </c>
      <c r="C143" s="7" t="s">
        <v>126</v>
      </c>
      <c r="D143" s="7" t="s">
        <v>34</v>
      </c>
      <c r="E143" s="7" t="s">
        <v>127</v>
      </c>
      <c r="F143" s="7" t="s">
        <v>128</v>
      </c>
      <c r="G143" s="12" t="s">
        <v>132</v>
      </c>
      <c r="H143" s="7" t="s">
        <v>9</v>
      </c>
      <c r="I143" s="0" t="s">
        <v>279</v>
      </c>
      <c r="J143" s="9" t="n">
        <v>4</v>
      </c>
      <c r="K143" s="10" t="n">
        <f aca="false">IF(J143="","",J143)</f>
        <v>4</v>
      </c>
      <c r="L143" s="9" t="n">
        <v>5</v>
      </c>
      <c r="M143" s="10" t="n">
        <f aca="false">IF(L143="","",L143)</f>
        <v>5</v>
      </c>
      <c r="N143" s="9" t="n">
        <v>5</v>
      </c>
      <c r="O143" s="10" t="n">
        <f aca="false">IF(N143="","",N143)</f>
        <v>5</v>
      </c>
      <c r="P143" s="9" t="n">
        <v>5</v>
      </c>
      <c r="Q143" s="10" t="n">
        <f aca="false">IF(P143="","",P143)</f>
        <v>5</v>
      </c>
      <c r="R143" s="10" t="n">
        <f aca="false">IF(COUNTA(K143,M143,O143,Q143)=0,"",AVERAGE(K143,M143,O143,Q143))</f>
        <v>4.75</v>
      </c>
      <c r="S143" s="11" t="s">
        <v>39</v>
      </c>
      <c r="T143" s="11" t="s">
        <v>131</v>
      </c>
      <c r="U143" s="11"/>
    </row>
    <row r="144" customFormat="false" ht="15.75" hidden="false" customHeight="true" outlineLevel="0" collapsed="false">
      <c r="A144" s="7" t="n">
        <v>43</v>
      </c>
      <c r="B144" s="7" t="s">
        <v>125</v>
      </c>
      <c r="C144" s="7" t="s">
        <v>126</v>
      </c>
      <c r="D144" s="7" t="s">
        <v>34</v>
      </c>
      <c r="E144" s="7" t="s">
        <v>127</v>
      </c>
      <c r="F144" s="7" t="s">
        <v>128</v>
      </c>
      <c r="G144" s="12" t="s">
        <v>134</v>
      </c>
      <c r="H144" s="7" t="s">
        <v>9</v>
      </c>
      <c r="I144" s="18" t="s">
        <v>280</v>
      </c>
      <c r="J144" s="9" t="n">
        <v>4</v>
      </c>
      <c r="K144" s="10" t="n">
        <f aca="false">IF(J144="","",J144)</f>
        <v>4</v>
      </c>
      <c r="L144" s="9" t="n">
        <v>5</v>
      </c>
      <c r="M144" s="10" t="n">
        <f aca="false">IF(L144="","",L144)</f>
        <v>5</v>
      </c>
      <c r="N144" s="9" t="n">
        <v>5</v>
      </c>
      <c r="O144" s="10" t="n">
        <f aca="false">IF(N144="","",N144)</f>
        <v>5</v>
      </c>
      <c r="P144" s="9" t="n">
        <v>5</v>
      </c>
      <c r="Q144" s="10" t="n">
        <f aca="false">IF(P144="","",P144)</f>
        <v>5</v>
      </c>
      <c r="R144" s="10" t="n">
        <f aca="false">IF(COUNTA(K144,M144,O144,Q144)=0,"",AVERAGE(K144,M144,O144,Q144))</f>
        <v>4.75</v>
      </c>
      <c r="S144" s="11" t="s">
        <v>39</v>
      </c>
      <c r="T144" s="11" t="s">
        <v>131</v>
      </c>
      <c r="U144" s="11"/>
    </row>
    <row r="145" customFormat="false" ht="15.75" hidden="false" customHeight="true" outlineLevel="0" collapsed="false">
      <c r="A145" s="7" t="n">
        <v>44</v>
      </c>
      <c r="B145" s="7" t="s">
        <v>125</v>
      </c>
      <c r="C145" s="7" t="s">
        <v>126</v>
      </c>
      <c r="D145" s="7" t="s">
        <v>34</v>
      </c>
      <c r="E145" s="7" t="s">
        <v>127</v>
      </c>
      <c r="F145" s="7" t="s">
        <v>128</v>
      </c>
      <c r="G145" s="12" t="s">
        <v>136</v>
      </c>
      <c r="H145" s="7" t="s">
        <v>9</v>
      </c>
      <c r="I145" s="0" t="s">
        <v>137</v>
      </c>
      <c r="J145" s="9" t="n">
        <v>5</v>
      </c>
      <c r="K145" s="10" t="n">
        <f aca="false">IF(J145="","",J145)</f>
        <v>5</v>
      </c>
      <c r="L145" s="9" t="n">
        <v>4</v>
      </c>
      <c r="M145" s="10" t="n">
        <f aca="false">IF(L145="","",L145)</f>
        <v>4</v>
      </c>
      <c r="N145" s="9" t="n">
        <v>4</v>
      </c>
      <c r="O145" s="10" t="n">
        <f aca="false">IF(N145="","",N145)</f>
        <v>4</v>
      </c>
      <c r="P145" s="9" t="n">
        <v>5</v>
      </c>
      <c r="Q145" s="10" t="n">
        <f aca="false">IF(P145="","",P145)</f>
        <v>5</v>
      </c>
      <c r="R145" s="10" t="n">
        <f aca="false">IF(COUNTA(K145,M145,O145,Q145)=0,"",AVERAGE(K145,M145,O145,Q145))</f>
        <v>4.5</v>
      </c>
      <c r="S145" s="11" t="s">
        <v>39</v>
      </c>
      <c r="T145" s="11" t="s">
        <v>131</v>
      </c>
      <c r="U145" s="11"/>
    </row>
    <row r="146" customFormat="false" ht="15.75" hidden="false" customHeight="true" outlineLevel="0" collapsed="false">
      <c r="A146" s="7" t="n">
        <v>45</v>
      </c>
      <c r="B146" s="7" t="s">
        <v>125</v>
      </c>
      <c r="C146" s="7" t="s">
        <v>126</v>
      </c>
      <c r="D146" s="7" t="s">
        <v>34</v>
      </c>
      <c r="E146" s="7" t="s">
        <v>127</v>
      </c>
      <c r="F146" s="7" t="s">
        <v>128</v>
      </c>
      <c r="G146" s="12" t="s">
        <v>138</v>
      </c>
      <c r="H146" s="7" t="s">
        <v>9</v>
      </c>
      <c r="I146" s="0" t="s">
        <v>281</v>
      </c>
      <c r="J146" s="9" t="n">
        <v>4</v>
      </c>
      <c r="K146" s="10" t="n">
        <f aca="false">IF(J146="","",J146)</f>
        <v>4</v>
      </c>
      <c r="L146" s="9" t="n">
        <v>5</v>
      </c>
      <c r="M146" s="10" t="n">
        <f aca="false">IF(L146="","",L146)</f>
        <v>5</v>
      </c>
      <c r="N146" s="9" t="n">
        <v>5</v>
      </c>
      <c r="O146" s="10" t="n">
        <f aca="false">IF(N146="","",N146)</f>
        <v>5</v>
      </c>
      <c r="P146" s="9" t="n">
        <v>5</v>
      </c>
      <c r="Q146" s="10" t="n">
        <f aca="false">IF(P146="","",P146)</f>
        <v>5</v>
      </c>
      <c r="R146" s="10" t="n">
        <f aca="false">IF(COUNTA(K146,M146,O146,Q146)=0,"",AVERAGE(K146,M146,O146,Q146))</f>
        <v>4.75</v>
      </c>
      <c r="S146" s="11" t="s">
        <v>39</v>
      </c>
      <c r="T146" s="11" t="s">
        <v>131</v>
      </c>
      <c r="U146" s="11"/>
    </row>
    <row r="147" customFormat="false" ht="15.75" hidden="false" customHeight="true" outlineLevel="0" collapsed="false">
      <c r="A147" s="7" t="n">
        <v>46</v>
      </c>
      <c r="B147" s="7" t="s">
        <v>125</v>
      </c>
      <c r="C147" s="7" t="s">
        <v>126</v>
      </c>
      <c r="D147" s="7" t="s">
        <v>34</v>
      </c>
      <c r="E147" s="7" t="s">
        <v>127</v>
      </c>
      <c r="F147" s="7" t="s">
        <v>128</v>
      </c>
      <c r="G147" s="12" t="s">
        <v>140</v>
      </c>
      <c r="H147" s="7" t="s">
        <v>9</v>
      </c>
      <c r="I147" s="0" t="s">
        <v>282</v>
      </c>
      <c r="J147" s="9" t="n">
        <v>4</v>
      </c>
      <c r="K147" s="10" t="n">
        <f aca="false">IF(J147="","",J147)</f>
        <v>4</v>
      </c>
      <c r="L147" s="9" t="n">
        <v>5</v>
      </c>
      <c r="M147" s="10" t="n">
        <f aca="false">IF(L147="","",L147)</f>
        <v>5</v>
      </c>
      <c r="N147" s="9" t="n">
        <v>5</v>
      </c>
      <c r="O147" s="10" t="n">
        <f aca="false">IF(N147="","",N147)</f>
        <v>5</v>
      </c>
      <c r="P147" s="9" t="n">
        <v>5</v>
      </c>
      <c r="Q147" s="10" t="n">
        <f aca="false">IF(P147="","",P147)</f>
        <v>5</v>
      </c>
      <c r="R147" s="10" t="n">
        <f aca="false">IF(COUNTA(K147,M147,O147,Q147)=0,"",AVERAGE(K147,M147,O147,Q147))</f>
        <v>4.75</v>
      </c>
      <c r="S147" s="11" t="s">
        <v>39</v>
      </c>
      <c r="T147" s="11" t="s">
        <v>131</v>
      </c>
      <c r="U147" s="11"/>
    </row>
    <row r="148" customFormat="false" ht="15.75" hidden="false" customHeight="true" outlineLevel="0" collapsed="false">
      <c r="A148" s="7" t="n">
        <v>47</v>
      </c>
      <c r="B148" s="7" t="s">
        <v>125</v>
      </c>
      <c r="C148" s="7" t="s">
        <v>126</v>
      </c>
      <c r="D148" s="7" t="s">
        <v>34</v>
      </c>
      <c r="E148" s="7" t="s">
        <v>127</v>
      </c>
      <c r="F148" s="7" t="s">
        <v>128</v>
      </c>
      <c r="G148" s="12" t="s">
        <v>142</v>
      </c>
      <c r="H148" s="7" t="s">
        <v>9</v>
      </c>
      <c r="I148" s="0" t="s">
        <v>283</v>
      </c>
      <c r="J148" s="9" t="n">
        <v>4</v>
      </c>
      <c r="K148" s="10" t="n">
        <f aca="false">IF(J148="","",J148)</f>
        <v>4</v>
      </c>
      <c r="L148" s="9" t="n">
        <v>4</v>
      </c>
      <c r="M148" s="10" t="n">
        <f aca="false">IF(L148="","",L148)</f>
        <v>4</v>
      </c>
      <c r="N148" s="9" t="n">
        <v>4</v>
      </c>
      <c r="O148" s="10" t="n">
        <f aca="false">IF(N148="","",N148)</f>
        <v>4</v>
      </c>
      <c r="P148" s="9" t="n">
        <v>5</v>
      </c>
      <c r="Q148" s="10" t="n">
        <f aca="false">IF(P148="","",P148)</f>
        <v>5</v>
      </c>
      <c r="R148" s="10" t="n">
        <f aca="false">IF(COUNTA(K148,M148,O148,Q148)=0,"",AVERAGE(K148,M148,O148,Q148))</f>
        <v>4.25</v>
      </c>
      <c r="S148" s="11" t="s">
        <v>39</v>
      </c>
      <c r="T148" s="11" t="s">
        <v>131</v>
      </c>
      <c r="U148" s="11"/>
    </row>
    <row r="149" customFormat="false" ht="15.75" hidden="false" customHeight="true" outlineLevel="0" collapsed="false">
      <c r="A149" s="7" t="n">
        <v>48</v>
      </c>
      <c r="B149" s="7" t="s">
        <v>125</v>
      </c>
      <c r="C149" s="7" t="s">
        <v>126</v>
      </c>
      <c r="D149" s="7" t="s">
        <v>34</v>
      </c>
      <c r="E149" s="7" t="s">
        <v>127</v>
      </c>
      <c r="F149" s="7" t="s">
        <v>128</v>
      </c>
      <c r="G149" s="12" t="s">
        <v>144</v>
      </c>
      <c r="H149" s="7" t="s">
        <v>9</v>
      </c>
      <c r="I149" s="0" t="s">
        <v>284</v>
      </c>
      <c r="J149" s="9" t="n">
        <v>4</v>
      </c>
      <c r="K149" s="10" t="n">
        <f aca="false">IF(J149="","",J149)</f>
        <v>4</v>
      </c>
      <c r="L149" s="9" t="n">
        <v>4</v>
      </c>
      <c r="M149" s="10" t="n">
        <f aca="false">IF(L149="","",L149)</f>
        <v>4</v>
      </c>
      <c r="N149" s="9" t="n">
        <v>4</v>
      </c>
      <c r="O149" s="10" t="n">
        <f aca="false">IF(N149="","",N149)</f>
        <v>4</v>
      </c>
      <c r="P149" s="9" t="n">
        <v>5</v>
      </c>
      <c r="Q149" s="10" t="n">
        <f aca="false">IF(P149="","",P149)</f>
        <v>5</v>
      </c>
      <c r="R149" s="10" t="n">
        <f aca="false">IF(COUNTA(K149,M149,O149,Q149)=0,"",AVERAGE(K149,M149,O149,Q149))</f>
        <v>4.25</v>
      </c>
      <c r="S149" s="11" t="s">
        <v>39</v>
      </c>
      <c r="T149" s="11" t="s">
        <v>131</v>
      </c>
      <c r="U149" s="11"/>
    </row>
    <row r="150" customFormat="false" ht="15.75" hidden="false" customHeight="true" outlineLevel="0" collapsed="false">
      <c r="A150" s="7" t="n">
        <v>49</v>
      </c>
      <c r="B150" s="7" t="s">
        <v>125</v>
      </c>
      <c r="C150" s="7" t="s">
        <v>126</v>
      </c>
      <c r="D150" s="7" t="s">
        <v>34</v>
      </c>
      <c r="E150" s="7" t="s">
        <v>127</v>
      </c>
      <c r="F150" s="7" t="s">
        <v>128</v>
      </c>
      <c r="G150" s="12" t="s">
        <v>146</v>
      </c>
      <c r="H150" s="7" t="s">
        <v>9</v>
      </c>
      <c r="I150" s="0" t="s">
        <v>285</v>
      </c>
      <c r="J150" s="9" t="n">
        <v>4</v>
      </c>
      <c r="K150" s="10" t="n">
        <f aca="false">IF(J150="","",J150)</f>
        <v>4</v>
      </c>
      <c r="L150" s="9" t="n">
        <v>5</v>
      </c>
      <c r="M150" s="10" t="n">
        <f aca="false">IF(L150="","",L150)</f>
        <v>5</v>
      </c>
      <c r="N150" s="9" t="n">
        <v>5</v>
      </c>
      <c r="O150" s="10" t="n">
        <f aca="false">IF(N150="","",N150)</f>
        <v>5</v>
      </c>
      <c r="P150" s="9" t="n">
        <v>5</v>
      </c>
      <c r="Q150" s="10" t="n">
        <f aca="false">IF(P150="","",P150)</f>
        <v>5</v>
      </c>
      <c r="R150" s="10" t="n">
        <f aca="false">IF(COUNTA(K150,M150,O150,Q150)=0,"",AVERAGE(K150,M150,O150,Q150))</f>
        <v>4.75</v>
      </c>
      <c r="S150" s="11" t="s">
        <v>39</v>
      </c>
      <c r="T150" s="11" t="s">
        <v>131</v>
      </c>
      <c r="U150" s="11"/>
    </row>
    <row r="151" customFormat="false" ht="15.75" hidden="false" customHeight="true" outlineLevel="0" collapsed="false">
      <c r="A151" s="7" t="n">
        <v>50</v>
      </c>
      <c r="B151" s="7" t="s">
        <v>125</v>
      </c>
      <c r="C151" s="7" t="s">
        <v>126</v>
      </c>
      <c r="D151" s="7" t="s">
        <v>34</v>
      </c>
      <c r="E151" s="7" t="s">
        <v>127</v>
      </c>
      <c r="F151" s="7" t="s">
        <v>128</v>
      </c>
      <c r="G151" s="12" t="s">
        <v>148</v>
      </c>
      <c r="H151" s="7" t="s">
        <v>9</v>
      </c>
      <c r="I151" s="18" t="s">
        <v>286</v>
      </c>
      <c r="J151" s="9" t="n">
        <v>4</v>
      </c>
      <c r="K151" s="10" t="n">
        <f aca="false">IF(J151="","",J151)</f>
        <v>4</v>
      </c>
      <c r="L151" s="9" t="n">
        <v>5</v>
      </c>
      <c r="M151" s="10" t="n">
        <f aca="false">IF(L151="","",L151)</f>
        <v>5</v>
      </c>
      <c r="N151" s="9" t="n">
        <v>5</v>
      </c>
      <c r="O151" s="10" t="n">
        <f aca="false">IF(N151="","",N151)</f>
        <v>5</v>
      </c>
      <c r="P151" s="9" t="n">
        <v>5</v>
      </c>
      <c r="Q151" s="10" t="n">
        <f aca="false">IF(P151="","",P151)</f>
        <v>5</v>
      </c>
      <c r="R151" s="10" t="n">
        <f aca="false">IF(COUNTA(K151,M151,O151,Q151)=0,"",AVERAGE(K151,M151,O151,Q151))</f>
        <v>4.75</v>
      </c>
      <c r="S151" s="11" t="s">
        <v>39</v>
      </c>
      <c r="T151" s="11" t="s">
        <v>131</v>
      </c>
      <c r="U151" s="11"/>
    </row>
    <row r="152" customFormat="false" ht="30.75" hidden="false" customHeight="true" outlineLevel="0" collapsed="false">
      <c r="A152" s="7" t="n">
        <v>51</v>
      </c>
      <c r="B152" s="7" t="s">
        <v>150</v>
      </c>
      <c r="C152" s="7" t="s">
        <v>151</v>
      </c>
      <c r="D152" s="7" t="s">
        <v>62</v>
      </c>
      <c r="E152" s="7" t="s">
        <v>152</v>
      </c>
      <c r="F152" s="7" t="s">
        <v>36</v>
      </c>
      <c r="G152" s="12" t="s">
        <v>153</v>
      </c>
      <c r="H152" s="7" t="s">
        <v>9</v>
      </c>
      <c r="I152" s="0" t="s">
        <v>287</v>
      </c>
      <c r="J152" s="9" t="n">
        <v>4</v>
      </c>
      <c r="K152" s="10" t="n">
        <f aca="false">IF(J152="","",J152)</f>
        <v>4</v>
      </c>
      <c r="L152" s="9" t="n">
        <v>5</v>
      </c>
      <c r="M152" s="10" t="n">
        <f aca="false">IF(L152="","",L152)</f>
        <v>5</v>
      </c>
      <c r="N152" s="9" t="n">
        <v>5</v>
      </c>
      <c r="O152" s="10" t="n">
        <f aca="false">IF(N152="","",N152)</f>
        <v>5</v>
      </c>
      <c r="P152" s="9" t="n">
        <v>5</v>
      </c>
      <c r="Q152" s="10" t="n">
        <f aca="false">IF(P152="","",P152)</f>
        <v>5</v>
      </c>
      <c r="R152" s="10" t="n">
        <f aca="false">IF(COUNTA(K152,M152,O152,Q152)=0,"",AVERAGE(K152,M152,O152,Q152))</f>
        <v>4.75</v>
      </c>
      <c r="S152" s="11" t="s">
        <v>270</v>
      </c>
      <c r="T152" s="11" t="s">
        <v>155</v>
      </c>
      <c r="U152" s="11"/>
    </row>
    <row r="153" customFormat="false" ht="30.75" hidden="false" customHeight="true" outlineLevel="0" collapsed="false">
      <c r="A153" s="7" t="n">
        <v>52</v>
      </c>
      <c r="B153" s="7" t="s">
        <v>150</v>
      </c>
      <c r="C153" s="7" t="s">
        <v>151</v>
      </c>
      <c r="D153" s="7" t="s">
        <v>62</v>
      </c>
      <c r="E153" s="7" t="s">
        <v>152</v>
      </c>
      <c r="F153" s="7" t="s">
        <v>36</v>
      </c>
      <c r="G153" s="12" t="s">
        <v>156</v>
      </c>
      <c r="H153" s="7" t="s">
        <v>9</v>
      </c>
      <c r="I153" s="0" t="s">
        <v>288</v>
      </c>
      <c r="J153" s="9" t="n">
        <v>4</v>
      </c>
      <c r="K153" s="10" t="n">
        <f aca="false">IF(J153="","",J153)</f>
        <v>4</v>
      </c>
      <c r="L153" s="9" t="n">
        <v>5</v>
      </c>
      <c r="M153" s="10" t="n">
        <f aca="false">IF(L153="","",L153)</f>
        <v>5</v>
      </c>
      <c r="N153" s="9" t="n">
        <v>5</v>
      </c>
      <c r="O153" s="10" t="n">
        <f aca="false">IF(N153="","",N153)</f>
        <v>5</v>
      </c>
      <c r="P153" s="9" t="n">
        <v>5</v>
      </c>
      <c r="Q153" s="10" t="n">
        <f aca="false">IF(P153="","",P153)</f>
        <v>5</v>
      </c>
      <c r="R153" s="10" t="n">
        <f aca="false">IF(COUNTA(K153,M153,O153,Q153)=0,"",AVERAGE(K153,M153,O153,Q153))</f>
        <v>4.75</v>
      </c>
      <c r="S153" s="11" t="s">
        <v>270</v>
      </c>
      <c r="T153" s="11" t="s">
        <v>155</v>
      </c>
      <c r="U153" s="11"/>
    </row>
    <row r="154" customFormat="false" ht="30.75" hidden="false" customHeight="true" outlineLevel="0" collapsed="false">
      <c r="A154" s="7" t="n">
        <v>53</v>
      </c>
      <c r="B154" s="7" t="s">
        <v>150</v>
      </c>
      <c r="C154" s="7" t="s">
        <v>151</v>
      </c>
      <c r="D154" s="7" t="s">
        <v>62</v>
      </c>
      <c r="E154" s="7" t="s">
        <v>152</v>
      </c>
      <c r="F154" s="7" t="s">
        <v>36</v>
      </c>
      <c r="G154" s="12" t="s">
        <v>158</v>
      </c>
      <c r="H154" s="7" t="s">
        <v>9</v>
      </c>
      <c r="I154" s="0" t="s">
        <v>289</v>
      </c>
      <c r="J154" s="9" t="n">
        <v>4</v>
      </c>
      <c r="K154" s="10" t="n">
        <f aca="false">IF(J154="","",J154)</f>
        <v>4</v>
      </c>
      <c r="L154" s="9" t="n">
        <v>5</v>
      </c>
      <c r="M154" s="10" t="n">
        <f aca="false">IF(L154="","",L154)</f>
        <v>5</v>
      </c>
      <c r="N154" s="9" t="n">
        <v>5</v>
      </c>
      <c r="O154" s="10" t="n">
        <f aca="false">IF(N154="","",N154)</f>
        <v>5</v>
      </c>
      <c r="P154" s="9" t="n">
        <v>5</v>
      </c>
      <c r="Q154" s="10" t="n">
        <f aca="false">IF(P154="","",P154)</f>
        <v>5</v>
      </c>
      <c r="R154" s="10" t="n">
        <f aca="false">IF(COUNTA(K154,M154,O154,Q154)=0,"",AVERAGE(K154,M154,O154,Q154))</f>
        <v>4.75</v>
      </c>
      <c r="S154" s="11" t="s">
        <v>270</v>
      </c>
      <c r="T154" s="11" t="s">
        <v>155</v>
      </c>
      <c r="U154" s="11"/>
    </row>
    <row r="155" customFormat="false" ht="30.75" hidden="false" customHeight="true" outlineLevel="0" collapsed="false">
      <c r="A155" s="7" t="n">
        <v>54</v>
      </c>
      <c r="B155" s="7" t="s">
        <v>150</v>
      </c>
      <c r="C155" s="7" t="s">
        <v>151</v>
      </c>
      <c r="D155" s="7" t="s">
        <v>62</v>
      </c>
      <c r="E155" s="7" t="s">
        <v>152</v>
      </c>
      <c r="F155" s="7" t="s">
        <v>36</v>
      </c>
      <c r="G155" s="12" t="s">
        <v>160</v>
      </c>
      <c r="H155" s="7" t="s">
        <v>9</v>
      </c>
      <c r="I155" s="0" t="s">
        <v>161</v>
      </c>
      <c r="J155" s="9" t="n">
        <v>5</v>
      </c>
      <c r="K155" s="10" t="n">
        <f aca="false">IF(J155="","",J155)</f>
        <v>5</v>
      </c>
      <c r="L155" s="9" t="n">
        <v>5</v>
      </c>
      <c r="M155" s="10" t="n">
        <f aca="false">IF(L155="","",L155)</f>
        <v>5</v>
      </c>
      <c r="N155" s="9" t="n">
        <v>5</v>
      </c>
      <c r="O155" s="10" t="n">
        <f aca="false">IF(N155="","",N155)</f>
        <v>5</v>
      </c>
      <c r="P155" s="9" t="n">
        <v>5</v>
      </c>
      <c r="Q155" s="10" t="n">
        <f aca="false">IF(P155="","",P155)</f>
        <v>5</v>
      </c>
      <c r="R155" s="10" t="n">
        <f aca="false">IF(COUNTA(K155,M155,O155,Q155)=0,"",AVERAGE(K155,M155,O155,Q155))</f>
        <v>5</v>
      </c>
      <c r="S155" s="11" t="s">
        <v>39</v>
      </c>
      <c r="T155" s="11" t="s">
        <v>155</v>
      </c>
      <c r="U155" s="11"/>
    </row>
    <row r="156" customFormat="false" ht="30.75" hidden="false" customHeight="true" outlineLevel="0" collapsed="false">
      <c r="A156" s="7" t="n">
        <v>55</v>
      </c>
      <c r="B156" s="7" t="s">
        <v>150</v>
      </c>
      <c r="C156" s="7" t="s">
        <v>151</v>
      </c>
      <c r="D156" s="7" t="s">
        <v>62</v>
      </c>
      <c r="E156" s="7" t="s">
        <v>152</v>
      </c>
      <c r="F156" s="7" t="s">
        <v>36</v>
      </c>
      <c r="G156" s="12" t="s">
        <v>162</v>
      </c>
      <c r="H156" s="7" t="s">
        <v>9</v>
      </c>
      <c r="I156" s="0" t="s">
        <v>290</v>
      </c>
      <c r="J156" s="9" t="n">
        <v>4</v>
      </c>
      <c r="K156" s="10" t="n">
        <f aca="false">IF(J156="","",J156)</f>
        <v>4</v>
      </c>
      <c r="L156" s="9" t="n">
        <v>5</v>
      </c>
      <c r="M156" s="10" t="n">
        <f aca="false">IF(L156="","",L156)</f>
        <v>5</v>
      </c>
      <c r="N156" s="9" t="n">
        <v>5</v>
      </c>
      <c r="O156" s="10" t="n">
        <f aca="false">IF(N156="","",N156)</f>
        <v>5</v>
      </c>
      <c r="P156" s="9" t="n">
        <v>5</v>
      </c>
      <c r="Q156" s="10" t="n">
        <f aca="false">IF(P156="","",P156)</f>
        <v>5</v>
      </c>
      <c r="R156" s="10" t="n">
        <f aca="false">IF(COUNTA(K156,M156,O156,Q156)=0,"",AVERAGE(K156,M156,O156,Q156))</f>
        <v>4.75</v>
      </c>
      <c r="S156" s="11" t="s">
        <v>270</v>
      </c>
      <c r="T156" s="11" t="s">
        <v>155</v>
      </c>
      <c r="U156" s="11"/>
    </row>
    <row r="157" customFormat="false" ht="30.75" hidden="false" customHeight="true" outlineLevel="0" collapsed="false">
      <c r="A157" s="7" t="n">
        <v>56</v>
      </c>
      <c r="B157" s="7" t="s">
        <v>150</v>
      </c>
      <c r="C157" s="7" t="s">
        <v>151</v>
      </c>
      <c r="D157" s="7" t="s">
        <v>62</v>
      </c>
      <c r="E157" s="7" t="s">
        <v>152</v>
      </c>
      <c r="F157" s="7" t="s">
        <v>36</v>
      </c>
      <c r="G157" s="12" t="s">
        <v>164</v>
      </c>
      <c r="H157" s="7" t="s">
        <v>9</v>
      </c>
      <c r="I157" s="0" t="s">
        <v>291</v>
      </c>
      <c r="J157" s="9" t="n">
        <v>4</v>
      </c>
      <c r="K157" s="10" t="n">
        <f aca="false">IF(J157="","",J157)</f>
        <v>4</v>
      </c>
      <c r="L157" s="9" t="n">
        <v>5</v>
      </c>
      <c r="M157" s="10" t="n">
        <f aca="false">IF(L157="","",L157)</f>
        <v>5</v>
      </c>
      <c r="N157" s="9" t="n">
        <v>5</v>
      </c>
      <c r="O157" s="10" t="n">
        <f aca="false">IF(N157="","",N157)</f>
        <v>5</v>
      </c>
      <c r="P157" s="9" t="n">
        <v>5</v>
      </c>
      <c r="Q157" s="10" t="n">
        <f aca="false">IF(P157="","",P157)</f>
        <v>5</v>
      </c>
      <c r="R157" s="10" t="n">
        <f aca="false">IF(COUNTA(K157,M157,O157,Q157)=0,"",AVERAGE(K157,M157,O157,Q157))</f>
        <v>4.75</v>
      </c>
      <c r="S157" s="11" t="s">
        <v>270</v>
      </c>
      <c r="T157" s="11" t="s">
        <v>166</v>
      </c>
      <c r="U157" s="11"/>
    </row>
    <row r="158" customFormat="false" ht="30.75" hidden="false" customHeight="true" outlineLevel="0" collapsed="false">
      <c r="A158" s="7" t="n">
        <v>57</v>
      </c>
      <c r="B158" s="7" t="s">
        <v>150</v>
      </c>
      <c r="C158" s="7" t="s">
        <v>151</v>
      </c>
      <c r="D158" s="7" t="s">
        <v>62</v>
      </c>
      <c r="E158" s="7" t="s">
        <v>152</v>
      </c>
      <c r="F158" s="7" t="s">
        <v>36</v>
      </c>
      <c r="G158" s="12" t="s">
        <v>167</v>
      </c>
      <c r="H158" s="7" t="s">
        <v>9</v>
      </c>
      <c r="I158" s="0" t="s">
        <v>292</v>
      </c>
      <c r="J158" s="9" t="n">
        <v>4</v>
      </c>
      <c r="K158" s="10" t="n">
        <f aca="false">IF(J158="","",J158)</f>
        <v>4</v>
      </c>
      <c r="L158" s="9" t="n">
        <v>5</v>
      </c>
      <c r="M158" s="10" t="n">
        <f aca="false">IF(L158="","",L158)</f>
        <v>5</v>
      </c>
      <c r="N158" s="9" t="n">
        <v>5</v>
      </c>
      <c r="O158" s="10" t="n">
        <f aca="false">IF(N158="","",N158)</f>
        <v>5</v>
      </c>
      <c r="P158" s="9" t="n">
        <v>5</v>
      </c>
      <c r="Q158" s="10" t="n">
        <f aca="false">IF(P158="","",P158)</f>
        <v>5</v>
      </c>
      <c r="R158" s="10" t="n">
        <f aca="false">IF(COUNTA(K158,M158,O158,Q158)=0,"",AVERAGE(K158,M158,O158,Q158))</f>
        <v>4.75</v>
      </c>
      <c r="S158" s="11" t="s">
        <v>270</v>
      </c>
      <c r="T158" s="11" t="s">
        <v>155</v>
      </c>
      <c r="U158" s="11"/>
    </row>
    <row r="159" customFormat="false" ht="30.75" hidden="false" customHeight="true" outlineLevel="0" collapsed="false">
      <c r="A159" s="7" t="n">
        <v>58</v>
      </c>
      <c r="B159" s="7" t="s">
        <v>150</v>
      </c>
      <c r="C159" s="7" t="s">
        <v>151</v>
      </c>
      <c r="D159" s="7" t="s">
        <v>62</v>
      </c>
      <c r="E159" s="7" t="s">
        <v>152</v>
      </c>
      <c r="F159" s="7" t="s">
        <v>36</v>
      </c>
      <c r="G159" s="12" t="s">
        <v>169</v>
      </c>
      <c r="H159" s="7" t="s">
        <v>9</v>
      </c>
      <c r="I159" s="0" t="s">
        <v>170</v>
      </c>
      <c r="J159" s="9" t="n">
        <v>5</v>
      </c>
      <c r="K159" s="10" t="n">
        <f aca="false">IF(J159="","",J159)</f>
        <v>5</v>
      </c>
      <c r="L159" s="9" t="n">
        <v>5</v>
      </c>
      <c r="M159" s="10" t="n">
        <f aca="false">IF(L159="","",L159)</f>
        <v>5</v>
      </c>
      <c r="N159" s="9" t="n">
        <v>5</v>
      </c>
      <c r="O159" s="10" t="n">
        <f aca="false">IF(N159="","",N159)</f>
        <v>5</v>
      </c>
      <c r="P159" s="9" t="n">
        <v>5</v>
      </c>
      <c r="Q159" s="10" t="n">
        <f aca="false">IF(P159="","",P159)</f>
        <v>5</v>
      </c>
      <c r="R159" s="10" t="n">
        <f aca="false">IF(COUNTA(K159,M159,O159,Q159)=0,"",AVERAGE(K159,M159,O159,Q159))</f>
        <v>5</v>
      </c>
      <c r="S159" s="11" t="s">
        <v>39</v>
      </c>
      <c r="T159" s="11" t="s">
        <v>155</v>
      </c>
      <c r="U159" s="11"/>
    </row>
    <row r="160" customFormat="false" ht="30.75" hidden="false" customHeight="true" outlineLevel="0" collapsed="false">
      <c r="A160" s="7" t="n">
        <v>59</v>
      </c>
      <c r="B160" s="7" t="s">
        <v>150</v>
      </c>
      <c r="C160" s="7" t="s">
        <v>151</v>
      </c>
      <c r="D160" s="7" t="s">
        <v>62</v>
      </c>
      <c r="E160" s="7" t="s">
        <v>152</v>
      </c>
      <c r="F160" s="7" t="s">
        <v>36</v>
      </c>
      <c r="G160" s="12" t="s">
        <v>171</v>
      </c>
      <c r="H160" s="7" t="s">
        <v>9</v>
      </c>
      <c r="I160" s="0" t="s">
        <v>293</v>
      </c>
      <c r="J160" s="9" t="n">
        <v>4</v>
      </c>
      <c r="K160" s="10" t="n">
        <f aca="false">IF(J160="","",J160)</f>
        <v>4</v>
      </c>
      <c r="L160" s="9" t="n">
        <v>5</v>
      </c>
      <c r="M160" s="10" t="n">
        <f aca="false">IF(L160="","",L160)</f>
        <v>5</v>
      </c>
      <c r="N160" s="9" t="n">
        <v>5</v>
      </c>
      <c r="O160" s="10" t="n">
        <f aca="false">IF(N160="","",N160)</f>
        <v>5</v>
      </c>
      <c r="P160" s="9" t="n">
        <v>5</v>
      </c>
      <c r="Q160" s="10" t="n">
        <f aca="false">IF(P160="","",P160)</f>
        <v>5</v>
      </c>
      <c r="R160" s="10" t="n">
        <f aca="false">IF(COUNTA(K160,M160,O160,Q160)=0,"",AVERAGE(K160,M160,O160,Q160))</f>
        <v>4.75</v>
      </c>
      <c r="S160" s="11" t="s">
        <v>270</v>
      </c>
      <c r="T160" s="11" t="s">
        <v>155</v>
      </c>
      <c r="U160" s="11"/>
    </row>
    <row r="161" customFormat="false" ht="30.75" hidden="false" customHeight="true" outlineLevel="0" collapsed="false">
      <c r="A161" s="7" t="n">
        <v>60</v>
      </c>
      <c r="B161" s="7" t="s">
        <v>150</v>
      </c>
      <c r="C161" s="7" t="s">
        <v>151</v>
      </c>
      <c r="D161" s="7" t="s">
        <v>62</v>
      </c>
      <c r="E161" s="7" t="s">
        <v>152</v>
      </c>
      <c r="F161" s="7" t="s">
        <v>36</v>
      </c>
      <c r="G161" s="12" t="s">
        <v>173</v>
      </c>
      <c r="H161" s="7" t="s">
        <v>9</v>
      </c>
      <c r="I161" s="0" t="s">
        <v>294</v>
      </c>
      <c r="J161" s="9" t="n">
        <v>4</v>
      </c>
      <c r="K161" s="10" t="n">
        <f aca="false">IF(J161="","",J161)</f>
        <v>4</v>
      </c>
      <c r="L161" s="9" t="n">
        <v>5</v>
      </c>
      <c r="M161" s="10" t="n">
        <f aca="false">IF(L161="","",L161)</f>
        <v>5</v>
      </c>
      <c r="N161" s="9" t="n">
        <v>5</v>
      </c>
      <c r="O161" s="10" t="n">
        <f aca="false">IF(N161="","",N161)</f>
        <v>5</v>
      </c>
      <c r="P161" s="9" t="n">
        <v>5</v>
      </c>
      <c r="Q161" s="10" t="n">
        <f aca="false">IF(P161="","",P161)</f>
        <v>5</v>
      </c>
      <c r="R161" s="10" t="n">
        <f aca="false">IF(COUNTA(K161,M161,O161,Q161)=0,"",AVERAGE(K161,M161,O161,Q161))</f>
        <v>4.75</v>
      </c>
      <c r="S161" s="11" t="s">
        <v>270</v>
      </c>
      <c r="T161" s="11" t="s">
        <v>155</v>
      </c>
      <c r="U161" s="11"/>
    </row>
    <row r="162" customFormat="false" ht="30.75" hidden="false" customHeight="true" outlineLevel="0" collapsed="false">
      <c r="A162" s="7" t="n">
        <v>61</v>
      </c>
      <c r="B162" s="7" t="s">
        <v>175</v>
      </c>
      <c r="C162" s="7" t="s">
        <v>61</v>
      </c>
      <c r="D162" s="7" t="s">
        <v>62</v>
      </c>
      <c r="E162" s="7" t="s">
        <v>176</v>
      </c>
      <c r="F162" s="7" t="s">
        <v>36</v>
      </c>
      <c r="G162" s="12" t="s">
        <v>177</v>
      </c>
      <c r="H162" s="7" t="s">
        <v>9</v>
      </c>
      <c r="I162" s="0" t="s">
        <v>178</v>
      </c>
      <c r="J162" s="9" t="n">
        <v>5</v>
      </c>
      <c r="K162" s="10" t="n">
        <f aca="false">IF(J162="","",J162)</f>
        <v>5</v>
      </c>
      <c r="L162" s="9" t="n">
        <v>4</v>
      </c>
      <c r="M162" s="10" t="n">
        <f aca="false">IF(L162="","",L162)</f>
        <v>4</v>
      </c>
      <c r="N162" s="9" t="n">
        <v>4</v>
      </c>
      <c r="O162" s="10" t="n">
        <f aca="false">IF(N162="","",N162)</f>
        <v>4</v>
      </c>
      <c r="P162" s="9" t="n">
        <v>5</v>
      </c>
      <c r="Q162" s="10" t="n">
        <f aca="false">IF(P162="","",P162)</f>
        <v>5</v>
      </c>
      <c r="R162" s="10" t="n">
        <f aca="false">IF(COUNTA(K162,M162,O162,Q162)=0,"",AVERAGE(K162,M162,O162,Q162))</f>
        <v>4.5</v>
      </c>
      <c r="S162" s="11" t="s">
        <v>39</v>
      </c>
      <c r="T162" s="11" t="s">
        <v>87</v>
      </c>
      <c r="U162" s="11"/>
    </row>
    <row r="163" customFormat="false" ht="30.75" hidden="false" customHeight="true" outlineLevel="0" collapsed="false">
      <c r="A163" s="7" t="n">
        <v>62</v>
      </c>
      <c r="B163" s="7" t="s">
        <v>175</v>
      </c>
      <c r="C163" s="7" t="s">
        <v>61</v>
      </c>
      <c r="D163" s="7" t="s">
        <v>62</v>
      </c>
      <c r="E163" s="7" t="s">
        <v>176</v>
      </c>
      <c r="F163" s="7" t="s">
        <v>36</v>
      </c>
      <c r="G163" s="12" t="s">
        <v>179</v>
      </c>
      <c r="H163" s="7" t="s">
        <v>9</v>
      </c>
      <c r="I163" s="0" t="s">
        <v>180</v>
      </c>
      <c r="J163" s="9" t="n">
        <v>5</v>
      </c>
      <c r="K163" s="10" t="n">
        <f aca="false">IF(J163="","",J163)</f>
        <v>5</v>
      </c>
      <c r="L163" s="9" t="n">
        <v>4</v>
      </c>
      <c r="M163" s="10" t="n">
        <f aca="false">IF(L163="","",L163)</f>
        <v>4</v>
      </c>
      <c r="N163" s="9" t="n">
        <v>4</v>
      </c>
      <c r="O163" s="10" t="n">
        <f aca="false">IF(N163="","",N163)</f>
        <v>4</v>
      </c>
      <c r="P163" s="9" t="n">
        <v>5</v>
      </c>
      <c r="Q163" s="10" t="n">
        <f aca="false">IF(P163="","",P163)</f>
        <v>5</v>
      </c>
      <c r="R163" s="10" t="n">
        <f aca="false">IF(COUNTA(K163,M163,O163,Q163)=0,"",AVERAGE(K163,M163,O163,Q163))</f>
        <v>4.5</v>
      </c>
      <c r="S163" s="11" t="s">
        <v>39</v>
      </c>
      <c r="T163" s="11" t="s">
        <v>87</v>
      </c>
      <c r="U163" s="11"/>
    </row>
    <row r="164" customFormat="false" ht="30.75" hidden="false" customHeight="true" outlineLevel="0" collapsed="false">
      <c r="A164" s="7" t="n">
        <v>63</v>
      </c>
      <c r="B164" s="7" t="s">
        <v>175</v>
      </c>
      <c r="C164" s="7" t="s">
        <v>61</v>
      </c>
      <c r="D164" s="7" t="s">
        <v>62</v>
      </c>
      <c r="E164" s="7" t="s">
        <v>176</v>
      </c>
      <c r="F164" s="7" t="s">
        <v>36</v>
      </c>
      <c r="G164" s="12" t="s">
        <v>181</v>
      </c>
      <c r="H164" s="7" t="s">
        <v>9</v>
      </c>
      <c r="I164" s="0" t="n">
        <v>6</v>
      </c>
      <c r="J164" s="9" t="n">
        <v>5</v>
      </c>
      <c r="K164" s="10" t="n">
        <f aca="false">IF(J164="","",J164)</f>
        <v>5</v>
      </c>
      <c r="L164" s="9" t="n">
        <v>4</v>
      </c>
      <c r="M164" s="10" t="n">
        <f aca="false">IF(L164="","",L164)</f>
        <v>4</v>
      </c>
      <c r="N164" s="9" t="n">
        <v>4</v>
      </c>
      <c r="O164" s="10" t="n">
        <f aca="false">IF(N164="","",N164)</f>
        <v>4</v>
      </c>
      <c r="P164" s="9" t="n">
        <v>5</v>
      </c>
      <c r="Q164" s="10" t="n">
        <f aca="false">IF(P164="","",P164)</f>
        <v>5</v>
      </c>
      <c r="R164" s="10" t="n">
        <f aca="false">IF(COUNTA(K164,M164,O164,Q164)=0,"",AVERAGE(K164,M164,O164,Q164))</f>
        <v>4.5</v>
      </c>
      <c r="S164" s="11" t="s">
        <v>39</v>
      </c>
      <c r="T164" s="11" t="s">
        <v>87</v>
      </c>
      <c r="U164" s="11"/>
    </row>
    <row r="165" customFormat="false" ht="30.75" hidden="false" customHeight="true" outlineLevel="0" collapsed="false">
      <c r="A165" s="7" t="n">
        <v>64</v>
      </c>
      <c r="B165" s="7" t="s">
        <v>175</v>
      </c>
      <c r="C165" s="7" t="s">
        <v>61</v>
      </c>
      <c r="D165" s="7" t="s">
        <v>62</v>
      </c>
      <c r="E165" s="7" t="s">
        <v>176</v>
      </c>
      <c r="F165" s="7" t="s">
        <v>36</v>
      </c>
      <c r="G165" s="12" t="s">
        <v>182</v>
      </c>
      <c r="H165" s="7" t="s">
        <v>9</v>
      </c>
      <c r="I165" s="0" t="s">
        <v>183</v>
      </c>
      <c r="J165" s="9" t="n">
        <v>5</v>
      </c>
      <c r="K165" s="10" t="n">
        <f aca="false">IF(J165="","",J165)</f>
        <v>5</v>
      </c>
      <c r="L165" s="9" t="n">
        <v>4</v>
      </c>
      <c r="M165" s="10" t="n">
        <f aca="false">IF(L165="","",L165)</f>
        <v>4</v>
      </c>
      <c r="N165" s="9" t="n">
        <v>4</v>
      </c>
      <c r="O165" s="10" t="n">
        <f aca="false">IF(N165="","",N165)</f>
        <v>4</v>
      </c>
      <c r="P165" s="9" t="n">
        <v>5</v>
      </c>
      <c r="Q165" s="10" t="n">
        <f aca="false">IF(P165="","",P165)</f>
        <v>5</v>
      </c>
      <c r="R165" s="10" t="n">
        <f aca="false">IF(COUNTA(K165,M165,O165,Q165)=0,"",AVERAGE(K165,M165,O165,Q165))</f>
        <v>4.5</v>
      </c>
      <c r="S165" s="11" t="s">
        <v>39</v>
      </c>
      <c r="T165" s="11" t="s">
        <v>87</v>
      </c>
      <c r="U165" s="11"/>
    </row>
    <row r="166" customFormat="false" ht="30.75" hidden="false" customHeight="true" outlineLevel="0" collapsed="false">
      <c r="A166" s="7" t="n">
        <v>65</v>
      </c>
      <c r="B166" s="7" t="s">
        <v>175</v>
      </c>
      <c r="C166" s="7" t="s">
        <v>61</v>
      </c>
      <c r="D166" s="7" t="s">
        <v>62</v>
      </c>
      <c r="E166" s="7" t="s">
        <v>176</v>
      </c>
      <c r="F166" s="7" t="s">
        <v>36</v>
      </c>
      <c r="G166" s="12" t="s">
        <v>184</v>
      </c>
      <c r="H166" s="7" t="s">
        <v>9</v>
      </c>
      <c r="I166" s="0" t="s">
        <v>185</v>
      </c>
      <c r="J166" s="9" t="n">
        <v>5</v>
      </c>
      <c r="K166" s="10" t="n">
        <f aca="false">IF(J166="","",J166)</f>
        <v>5</v>
      </c>
      <c r="L166" s="9" t="n">
        <v>4</v>
      </c>
      <c r="M166" s="10" t="n">
        <f aca="false">IF(L166="","",L166)</f>
        <v>4</v>
      </c>
      <c r="N166" s="9" t="n">
        <v>4</v>
      </c>
      <c r="O166" s="10" t="n">
        <f aca="false">IF(N166="","",N166)</f>
        <v>4</v>
      </c>
      <c r="P166" s="9" t="n">
        <v>5</v>
      </c>
      <c r="Q166" s="10" t="n">
        <f aca="false">IF(P166="","",P166)</f>
        <v>5</v>
      </c>
      <c r="R166" s="10" t="n">
        <f aca="false">IF(COUNTA(K166,M166,O166,Q166)=0,"",AVERAGE(K166,M166,O166,Q166))</f>
        <v>4.5</v>
      </c>
      <c r="S166" s="11" t="s">
        <v>39</v>
      </c>
      <c r="T166" s="11" t="s">
        <v>87</v>
      </c>
      <c r="U166" s="11"/>
    </row>
    <row r="167" customFormat="false" ht="30.75" hidden="false" customHeight="true" outlineLevel="0" collapsed="false">
      <c r="A167" s="7" t="n">
        <v>66</v>
      </c>
      <c r="B167" s="7" t="s">
        <v>175</v>
      </c>
      <c r="C167" s="7" t="s">
        <v>61</v>
      </c>
      <c r="D167" s="7" t="s">
        <v>62</v>
      </c>
      <c r="E167" s="7" t="s">
        <v>176</v>
      </c>
      <c r="F167" s="7" t="s">
        <v>36</v>
      </c>
      <c r="G167" s="12" t="s">
        <v>186</v>
      </c>
      <c r="H167" s="7" t="s">
        <v>9</v>
      </c>
      <c r="I167" s="0" t="n">
        <v>150</v>
      </c>
      <c r="J167" s="9" t="n">
        <v>5</v>
      </c>
      <c r="K167" s="10" t="n">
        <f aca="false">IF(J167="","",J167)</f>
        <v>5</v>
      </c>
      <c r="L167" s="9" t="n">
        <v>4</v>
      </c>
      <c r="M167" s="10" t="n">
        <f aca="false">IF(L167="","",L167)</f>
        <v>4</v>
      </c>
      <c r="N167" s="9" t="n">
        <v>4</v>
      </c>
      <c r="O167" s="10" t="n">
        <f aca="false">IF(N167="","",N167)</f>
        <v>4</v>
      </c>
      <c r="P167" s="9" t="n">
        <v>5</v>
      </c>
      <c r="Q167" s="10" t="n">
        <f aca="false">IF(P167="","",P167)</f>
        <v>5</v>
      </c>
      <c r="R167" s="10" t="n">
        <f aca="false">IF(COUNTA(K167,M167,O167,Q167)=0,"",AVERAGE(K167,M167,O167,Q167))</f>
        <v>4.5</v>
      </c>
      <c r="S167" s="11" t="s">
        <v>39</v>
      </c>
      <c r="T167" s="11" t="s">
        <v>87</v>
      </c>
      <c r="U167" s="11"/>
    </row>
    <row r="168" customFormat="false" ht="30.75" hidden="false" customHeight="true" outlineLevel="0" collapsed="false">
      <c r="A168" s="7" t="n">
        <v>67</v>
      </c>
      <c r="B168" s="7" t="s">
        <v>175</v>
      </c>
      <c r="C168" s="7" t="s">
        <v>61</v>
      </c>
      <c r="D168" s="7" t="s">
        <v>62</v>
      </c>
      <c r="E168" s="7" t="s">
        <v>176</v>
      </c>
      <c r="F168" s="7" t="s">
        <v>36</v>
      </c>
      <c r="G168" s="12" t="s">
        <v>187</v>
      </c>
      <c r="H168" s="7" t="s">
        <v>9</v>
      </c>
      <c r="I168" s="0" t="s">
        <v>188</v>
      </c>
      <c r="J168" s="9" t="n">
        <v>5</v>
      </c>
      <c r="K168" s="10" t="n">
        <f aca="false">IF(J168="","",J168)</f>
        <v>5</v>
      </c>
      <c r="L168" s="9" t="n">
        <v>4</v>
      </c>
      <c r="M168" s="10" t="n">
        <f aca="false">IF(L168="","",L168)</f>
        <v>4</v>
      </c>
      <c r="N168" s="9" t="n">
        <v>4</v>
      </c>
      <c r="O168" s="10" t="n">
        <f aca="false">IF(N168="","",N168)</f>
        <v>4</v>
      </c>
      <c r="P168" s="9" t="n">
        <v>5</v>
      </c>
      <c r="Q168" s="10" t="n">
        <f aca="false">IF(P168="","",P168)</f>
        <v>5</v>
      </c>
      <c r="R168" s="10" t="n">
        <f aca="false">IF(COUNTA(K168,M168,O168,Q168)=0,"",AVERAGE(K168,M168,O168,Q168))</f>
        <v>4.5</v>
      </c>
      <c r="S168" s="11" t="s">
        <v>39</v>
      </c>
      <c r="T168" s="11" t="s">
        <v>87</v>
      </c>
      <c r="U168" s="11"/>
    </row>
    <row r="169" customFormat="false" ht="30.75" hidden="false" customHeight="true" outlineLevel="0" collapsed="false">
      <c r="A169" s="7" t="n">
        <v>68</v>
      </c>
      <c r="B169" s="7" t="s">
        <v>175</v>
      </c>
      <c r="C169" s="7" t="s">
        <v>61</v>
      </c>
      <c r="D169" s="7" t="s">
        <v>62</v>
      </c>
      <c r="E169" s="7" t="s">
        <v>176</v>
      </c>
      <c r="F169" s="7" t="s">
        <v>36</v>
      </c>
      <c r="G169" s="12" t="s">
        <v>189</v>
      </c>
      <c r="H169" s="7" t="s">
        <v>9</v>
      </c>
      <c r="I169" s="0" t="s">
        <v>190</v>
      </c>
      <c r="J169" s="9" t="n">
        <v>5</v>
      </c>
      <c r="K169" s="10" t="n">
        <f aca="false">IF(J169="","",J169)</f>
        <v>5</v>
      </c>
      <c r="L169" s="9" t="n">
        <v>4</v>
      </c>
      <c r="M169" s="10" t="n">
        <f aca="false">IF(L169="","",L169)</f>
        <v>4</v>
      </c>
      <c r="N169" s="9" t="n">
        <v>4</v>
      </c>
      <c r="O169" s="10" t="n">
        <f aca="false">IF(N169="","",N169)</f>
        <v>4</v>
      </c>
      <c r="P169" s="9" t="n">
        <v>5</v>
      </c>
      <c r="Q169" s="10" t="n">
        <f aca="false">IF(P169="","",P169)</f>
        <v>5</v>
      </c>
      <c r="R169" s="10" t="n">
        <f aca="false">IF(COUNTA(K169,M169,O169,Q169)=0,"",AVERAGE(K169,M169,O169,Q169))</f>
        <v>4.5</v>
      </c>
      <c r="S169" s="11" t="s">
        <v>39</v>
      </c>
      <c r="T169" s="11" t="s">
        <v>87</v>
      </c>
      <c r="U169" s="11"/>
    </row>
    <row r="170" customFormat="false" ht="30.75" hidden="false" customHeight="true" outlineLevel="0" collapsed="false">
      <c r="A170" s="7" t="n">
        <v>69</v>
      </c>
      <c r="B170" s="7" t="s">
        <v>175</v>
      </c>
      <c r="C170" s="7" t="s">
        <v>61</v>
      </c>
      <c r="D170" s="7" t="s">
        <v>62</v>
      </c>
      <c r="E170" s="7" t="s">
        <v>176</v>
      </c>
      <c r="F170" s="7" t="s">
        <v>36</v>
      </c>
      <c r="G170" s="12" t="s">
        <v>191</v>
      </c>
      <c r="H170" s="7" t="s">
        <v>9</v>
      </c>
      <c r="I170" s="0" t="s">
        <v>192</v>
      </c>
      <c r="J170" s="9" t="n">
        <v>5</v>
      </c>
      <c r="K170" s="10" t="n">
        <f aca="false">IF(J170="","",J170)</f>
        <v>5</v>
      </c>
      <c r="L170" s="9" t="n">
        <v>4</v>
      </c>
      <c r="M170" s="10" t="n">
        <f aca="false">IF(L170="","",L170)</f>
        <v>4</v>
      </c>
      <c r="N170" s="9" t="n">
        <v>4</v>
      </c>
      <c r="O170" s="10" t="n">
        <f aca="false">IF(N170="","",N170)</f>
        <v>4</v>
      </c>
      <c r="P170" s="9" t="n">
        <v>5</v>
      </c>
      <c r="Q170" s="10" t="n">
        <f aca="false">IF(P170="","",P170)</f>
        <v>5</v>
      </c>
      <c r="R170" s="10" t="n">
        <f aca="false">IF(COUNTA(K170,M170,O170,Q170)=0,"",AVERAGE(K170,M170,O170,Q170))</f>
        <v>4.5</v>
      </c>
      <c r="S170" s="11" t="s">
        <v>39</v>
      </c>
      <c r="T170" s="11" t="s">
        <v>87</v>
      </c>
      <c r="U170" s="11"/>
    </row>
    <row r="171" customFormat="false" ht="30.75" hidden="false" customHeight="true" outlineLevel="0" collapsed="false">
      <c r="A171" s="7" t="n">
        <v>70</v>
      </c>
      <c r="B171" s="7" t="s">
        <v>175</v>
      </c>
      <c r="C171" s="7" t="s">
        <v>61</v>
      </c>
      <c r="D171" s="7" t="s">
        <v>62</v>
      </c>
      <c r="E171" s="7" t="s">
        <v>176</v>
      </c>
      <c r="F171" s="7" t="s">
        <v>36</v>
      </c>
      <c r="G171" s="12" t="s">
        <v>193</v>
      </c>
      <c r="H171" s="7" t="s">
        <v>9</v>
      </c>
      <c r="I171" s="0" t="s">
        <v>194</v>
      </c>
      <c r="J171" s="9" t="n">
        <v>5</v>
      </c>
      <c r="K171" s="10" t="n">
        <f aca="false">IF(J171="","",J171)</f>
        <v>5</v>
      </c>
      <c r="L171" s="9" t="n">
        <v>4</v>
      </c>
      <c r="M171" s="10" t="n">
        <f aca="false">IF(L171="","",L171)</f>
        <v>4</v>
      </c>
      <c r="N171" s="9" t="n">
        <v>4</v>
      </c>
      <c r="O171" s="10" t="n">
        <f aca="false">IF(N171="","",N171)</f>
        <v>4</v>
      </c>
      <c r="P171" s="9" t="n">
        <v>5</v>
      </c>
      <c r="Q171" s="10" t="n">
        <f aca="false">IF(P171="","",P171)</f>
        <v>5</v>
      </c>
      <c r="R171" s="10" t="n">
        <f aca="false">IF(COUNTA(K171,M171,O171,Q171)=0,"",AVERAGE(K171,M171,O171,Q171))</f>
        <v>4.5</v>
      </c>
      <c r="S171" s="11" t="s">
        <v>39</v>
      </c>
      <c r="T171" s="11" t="s">
        <v>87</v>
      </c>
      <c r="U171" s="11"/>
    </row>
    <row r="172" customFormat="false" ht="15.75" hidden="false" customHeight="true" outlineLevel="0" collapsed="false">
      <c r="A172" s="7" t="n">
        <v>71</v>
      </c>
      <c r="B172" s="7" t="s">
        <v>195</v>
      </c>
      <c r="C172" s="7" t="s">
        <v>196</v>
      </c>
      <c r="D172" s="7" t="s">
        <v>62</v>
      </c>
      <c r="E172" s="7" t="s">
        <v>197</v>
      </c>
      <c r="F172" s="7" t="s">
        <v>128</v>
      </c>
      <c r="G172" s="12" t="s">
        <v>198</v>
      </c>
      <c r="H172" s="7" t="s">
        <v>9</v>
      </c>
      <c r="I172" s="0" t="s">
        <v>295</v>
      </c>
      <c r="J172" s="9" t="n">
        <v>4</v>
      </c>
      <c r="K172" s="10" t="n">
        <f aca="false">IF(J172="","",J172)</f>
        <v>4</v>
      </c>
      <c r="L172" s="9" t="n">
        <v>5</v>
      </c>
      <c r="M172" s="10" t="n">
        <f aca="false">IF(L172="","",L172)</f>
        <v>5</v>
      </c>
      <c r="N172" s="9" t="n">
        <v>5</v>
      </c>
      <c r="O172" s="10" t="n">
        <f aca="false">IF(N172="","",N172)</f>
        <v>5</v>
      </c>
      <c r="P172" s="9" t="n">
        <v>5</v>
      </c>
      <c r="Q172" s="10" t="n">
        <f aca="false">IF(P172="","",P172)</f>
        <v>5</v>
      </c>
      <c r="R172" s="10" t="n">
        <f aca="false">IF(COUNTA(K172,M172,O172,Q172)=0,"",AVERAGE(K172,M172,O172,Q172))</f>
        <v>4.75</v>
      </c>
      <c r="S172" s="11" t="s">
        <v>39</v>
      </c>
      <c r="T172" s="11" t="s">
        <v>200</v>
      </c>
      <c r="U172" s="11"/>
    </row>
    <row r="173" customFormat="false" ht="15.75" hidden="false" customHeight="true" outlineLevel="0" collapsed="false">
      <c r="A173" s="7" t="n">
        <v>72</v>
      </c>
      <c r="B173" s="7" t="s">
        <v>195</v>
      </c>
      <c r="C173" s="7" t="s">
        <v>196</v>
      </c>
      <c r="D173" s="7" t="s">
        <v>62</v>
      </c>
      <c r="E173" s="7" t="s">
        <v>197</v>
      </c>
      <c r="F173" s="7" t="s">
        <v>128</v>
      </c>
      <c r="G173" s="12" t="s">
        <v>201</v>
      </c>
      <c r="H173" s="7" t="s">
        <v>9</v>
      </c>
      <c r="I173" s="18" t="s">
        <v>296</v>
      </c>
      <c r="J173" s="9" t="n">
        <v>4</v>
      </c>
      <c r="K173" s="10" t="n">
        <f aca="false">IF(J173="","",J173)</f>
        <v>4</v>
      </c>
      <c r="L173" s="9" t="n">
        <v>5</v>
      </c>
      <c r="M173" s="10" t="n">
        <f aca="false">IF(L173="","",L173)</f>
        <v>5</v>
      </c>
      <c r="N173" s="9" t="n">
        <v>5</v>
      </c>
      <c r="O173" s="10" t="n">
        <f aca="false">IF(N173="","",N173)</f>
        <v>5</v>
      </c>
      <c r="P173" s="9" t="n">
        <v>5</v>
      </c>
      <c r="Q173" s="10" t="n">
        <f aca="false">IF(P173="","",P173)</f>
        <v>5</v>
      </c>
      <c r="R173" s="10" t="n">
        <f aca="false">IF(COUNTA(K173,M173,O173,Q173)=0,"",AVERAGE(K173,M173,O173,Q173))</f>
        <v>4.75</v>
      </c>
      <c r="S173" s="11" t="s">
        <v>39</v>
      </c>
      <c r="T173" s="11" t="s">
        <v>200</v>
      </c>
      <c r="U173" s="11"/>
    </row>
    <row r="174" customFormat="false" ht="15.75" hidden="false" customHeight="true" outlineLevel="0" collapsed="false">
      <c r="A174" s="7" t="n">
        <v>73</v>
      </c>
      <c r="B174" s="7" t="s">
        <v>195</v>
      </c>
      <c r="C174" s="7" t="s">
        <v>196</v>
      </c>
      <c r="D174" s="7" t="s">
        <v>62</v>
      </c>
      <c r="E174" s="7" t="s">
        <v>197</v>
      </c>
      <c r="F174" s="7" t="s">
        <v>128</v>
      </c>
      <c r="G174" s="12" t="s">
        <v>203</v>
      </c>
      <c r="H174" s="7" t="s">
        <v>9</v>
      </c>
      <c r="I174" s="18" t="s">
        <v>297</v>
      </c>
      <c r="J174" s="9" t="n">
        <v>4</v>
      </c>
      <c r="K174" s="10" t="n">
        <f aca="false">IF(J174="","",J174)</f>
        <v>4</v>
      </c>
      <c r="L174" s="9" t="n">
        <v>5</v>
      </c>
      <c r="M174" s="10" t="n">
        <f aca="false">IF(L174="","",L174)</f>
        <v>5</v>
      </c>
      <c r="N174" s="9" t="n">
        <v>5</v>
      </c>
      <c r="O174" s="10" t="n">
        <f aca="false">IF(N174="","",N174)</f>
        <v>5</v>
      </c>
      <c r="P174" s="9" t="n">
        <v>5</v>
      </c>
      <c r="Q174" s="10" t="n">
        <f aca="false">IF(P174="","",P174)</f>
        <v>5</v>
      </c>
      <c r="R174" s="10" t="n">
        <f aca="false">IF(COUNTA(K174,M174,O174,Q174)=0,"",AVERAGE(K174,M174,O174,Q174))</f>
        <v>4.75</v>
      </c>
      <c r="S174" s="11" t="s">
        <v>39</v>
      </c>
      <c r="T174" s="11" t="s">
        <v>200</v>
      </c>
      <c r="U174" s="11"/>
    </row>
    <row r="175" customFormat="false" ht="15.75" hidden="false" customHeight="true" outlineLevel="0" collapsed="false">
      <c r="A175" s="7" t="n">
        <v>74</v>
      </c>
      <c r="B175" s="7" t="s">
        <v>195</v>
      </c>
      <c r="C175" s="7" t="s">
        <v>196</v>
      </c>
      <c r="D175" s="7" t="s">
        <v>62</v>
      </c>
      <c r="E175" s="7" t="s">
        <v>197</v>
      </c>
      <c r="F175" s="7" t="s">
        <v>128</v>
      </c>
      <c r="G175" s="12" t="s">
        <v>205</v>
      </c>
      <c r="H175" s="7" t="s">
        <v>9</v>
      </c>
      <c r="I175" s="18" t="s">
        <v>298</v>
      </c>
      <c r="J175" s="9" t="n">
        <v>4</v>
      </c>
      <c r="K175" s="10" t="n">
        <f aca="false">IF(J175="","",J175)</f>
        <v>4</v>
      </c>
      <c r="L175" s="9" t="n">
        <v>5</v>
      </c>
      <c r="M175" s="10" t="n">
        <f aca="false">IF(L175="","",L175)</f>
        <v>5</v>
      </c>
      <c r="N175" s="9" t="n">
        <v>5</v>
      </c>
      <c r="O175" s="10" t="n">
        <f aca="false">IF(N175="","",N175)</f>
        <v>5</v>
      </c>
      <c r="P175" s="9" t="n">
        <v>5</v>
      </c>
      <c r="Q175" s="10" t="n">
        <f aca="false">IF(P175="","",P175)</f>
        <v>5</v>
      </c>
      <c r="R175" s="10" t="n">
        <f aca="false">IF(COUNTA(K175,M175,O175,Q175)=0,"",AVERAGE(K175,M175,O175,Q175))</f>
        <v>4.75</v>
      </c>
      <c r="S175" s="11" t="s">
        <v>39</v>
      </c>
      <c r="T175" s="11" t="s">
        <v>200</v>
      </c>
      <c r="U175" s="11"/>
    </row>
    <row r="176" customFormat="false" ht="15.75" hidden="false" customHeight="true" outlineLevel="0" collapsed="false">
      <c r="A176" s="7" t="n">
        <v>75</v>
      </c>
      <c r="B176" s="7" t="s">
        <v>195</v>
      </c>
      <c r="C176" s="7" t="s">
        <v>196</v>
      </c>
      <c r="D176" s="7" t="s">
        <v>62</v>
      </c>
      <c r="E176" s="7" t="s">
        <v>197</v>
      </c>
      <c r="F176" s="7" t="s">
        <v>128</v>
      </c>
      <c r="G176" s="12" t="s">
        <v>207</v>
      </c>
      <c r="H176" s="7" t="s">
        <v>9</v>
      </c>
      <c r="I176" s="0" t="s">
        <v>299</v>
      </c>
      <c r="J176" s="9" t="n">
        <v>4</v>
      </c>
      <c r="K176" s="10" t="n">
        <f aca="false">IF(J176="","",J176)</f>
        <v>4</v>
      </c>
      <c r="L176" s="9" t="n">
        <v>5</v>
      </c>
      <c r="M176" s="10" t="n">
        <f aca="false">IF(L176="","",L176)</f>
        <v>5</v>
      </c>
      <c r="N176" s="9" t="n">
        <v>5</v>
      </c>
      <c r="O176" s="10" t="n">
        <f aca="false">IF(N176="","",N176)</f>
        <v>5</v>
      </c>
      <c r="P176" s="9" t="n">
        <v>5</v>
      </c>
      <c r="Q176" s="10" t="n">
        <f aca="false">IF(P176="","",P176)</f>
        <v>5</v>
      </c>
      <c r="R176" s="10" t="n">
        <f aca="false">IF(COUNTA(K176,M176,O176,Q176)=0,"",AVERAGE(K176,M176,O176,Q176))</f>
        <v>4.75</v>
      </c>
      <c r="S176" s="11" t="s">
        <v>39</v>
      </c>
      <c r="T176" s="11" t="s">
        <v>155</v>
      </c>
      <c r="U176" s="11"/>
    </row>
    <row r="177" customFormat="false" ht="15.75" hidden="false" customHeight="true" outlineLevel="0" collapsed="false">
      <c r="A177" s="7" t="n">
        <v>76</v>
      </c>
      <c r="B177" s="7" t="s">
        <v>195</v>
      </c>
      <c r="C177" s="7" t="s">
        <v>196</v>
      </c>
      <c r="D177" s="7" t="s">
        <v>62</v>
      </c>
      <c r="E177" s="7" t="s">
        <v>197</v>
      </c>
      <c r="F177" s="7" t="s">
        <v>128</v>
      </c>
      <c r="G177" s="12" t="s">
        <v>209</v>
      </c>
      <c r="H177" s="7" t="s">
        <v>9</v>
      </c>
      <c r="I177" s="0" t="s">
        <v>300</v>
      </c>
      <c r="J177" s="9" t="n">
        <v>4</v>
      </c>
      <c r="K177" s="10" t="n">
        <f aca="false">IF(J177="","",J177)</f>
        <v>4</v>
      </c>
      <c r="L177" s="9" t="n">
        <v>5</v>
      </c>
      <c r="M177" s="10" t="n">
        <f aca="false">IF(L177="","",L177)</f>
        <v>5</v>
      </c>
      <c r="N177" s="9" t="n">
        <v>5</v>
      </c>
      <c r="O177" s="10" t="n">
        <f aca="false">IF(N177="","",N177)</f>
        <v>5</v>
      </c>
      <c r="P177" s="9" t="n">
        <v>5</v>
      </c>
      <c r="Q177" s="10" t="n">
        <f aca="false">IF(P177="","",P177)</f>
        <v>5</v>
      </c>
      <c r="R177" s="10" t="n">
        <f aca="false">IF(COUNTA(K177,M177,O177,Q177)=0,"",AVERAGE(K177,M177,O177,Q177))</f>
        <v>4.75</v>
      </c>
      <c r="S177" s="11" t="s">
        <v>39</v>
      </c>
      <c r="T177" s="11" t="s">
        <v>200</v>
      </c>
      <c r="U177" s="11"/>
    </row>
    <row r="178" customFormat="false" ht="15.75" hidden="false" customHeight="true" outlineLevel="0" collapsed="false">
      <c r="A178" s="7" t="n">
        <v>77</v>
      </c>
      <c r="B178" s="7" t="s">
        <v>195</v>
      </c>
      <c r="C178" s="7" t="s">
        <v>196</v>
      </c>
      <c r="D178" s="7" t="s">
        <v>62</v>
      </c>
      <c r="E178" s="7" t="s">
        <v>197</v>
      </c>
      <c r="F178" s="7" t="s">
        <v>128</v>
      </c>
      <c r="G178" s="12" t="s">
        <v>211</v>
      </c>
      <c r="H178" s="7" t="s">
        <v>9</v>
      </c>
      <c r="I178" s="0" t="s">
        <v>301</v>
      </c>
      <c r="J178" s="9" t="n">
        <v>4</v>
      </c>
      <c r="K178" s="10" t="n">
        <f aca="false">IF(J178="","",J178)</f>
        <v>4</v>
      </c>
      <c r="L178" s="9" t="n">
        <v>5</v>
      </c>
      <c r="M178" s="10" t="n">
        <f aca="false">IF(L178="","",L178)</f>
        <v>5</v>
      </c>
      <c r="N178" s="9" t="n">
        <v>5</v>
      </c>
      <c r="O178" s="10" t="n">
        <f aca="false">IF(N178="","",N178)</f>
        <v>5</v>
      </c>
      <c r="P178" s="9" t="n">
        <v>5</v>
      </c>
      <c r="Q178" s="10" t="n">
        <f aca="false">IF(P178="","",P178)</f>
        <v>5</v>
      </c>
      <c r="R178" s="10" t="n">
        <f aca="false">IF(COUNTA(K178,M178,O178,Q178)=0,"",AVERAGE(K178,M178,O178,Q178))</f>
        <v>4.75</v>
      </c>
      <c r="S178" s="11" t="s">
        <v>39</v>
      </c>
      <c r="T178" s="11" t="s">
        <v>200</v>
      </c>
      <c r="U178" s="11"/>
    </row>
    <row r="179" customFormat="false" ht="15.75" hidden="false" customHeight="true" outlineLevel="0" collapsed="false">
      <c r="A179" s="7" t="n">
        <v>78</v>
      </c>
      <c r="B179" s="7" t="s">
        <v>195</v>
      </c>
      <c r="C179" s="7" t="s">
        <v>196</v>
      </c>
      <c r="D179" s="7" t="s">
        <v>62</v>
      </c>
      <c r="E179" s="7" t="s">
        <v>197</v>
      </c>
      <c r="F179" s="7" t="s">
        <v>128</v>
      </c>
      <c r="G179" s="12" t="s">
        <v>213</v>
      </c>
      <c r="H179" s="7" t="s">
        <v>9</v>
      </c>
      <c r="I179" s="0" t="s">
        <v>302</v>
      </c>
      <c r="J179" s="9" t="n">
        <v>4</v>
      </c>
      <c r="K179" s="10" t="n">
        <f aca="false">IF(J179="","",J179)</f>
        <v>4</v>
      </c>
      <c r="L179" s="9" t="n">
        <v>5</v>
      </c>
      <c r="M179" s="10" t="n">
        <f aca="false">IF(L179="","",L179)</f>
        <v>5</v>
      </c>
      <c r="N179" s="9" t="n">
        <v>5</v>
      </c>
      <c r="O179" s="10" t="n">
        <f aca="false">IF(N179="","",N179)</f>
        <v>5</v>
      </c>
      <c r="P179" s="9" t="n">
        <v>5</v>
      </c>
      <c r="Q179" s="10" t="n">
        <f aca="false">IF(P179="","",P179)</f>
        <v>5</v>
      </c>
      <c r="R179" s="10" t="n">
        <f aca="false">IF(COUNTA(K179,M179,O179,Q179)=0,"",AVERAGE(K179,M179,O179,Q179))</f>
        <v>4.75</v>
      </c>
      <c r="S179" s="11" t="s">
        <v>39</v>
      </c>
      <c r="T179" s="11" t="s">
        <v>94</v>
      </c>
      <c r="U179" s="11"/>
    </row>
    <row r="180" customFormat="false" ht="15.75" hidden="false" customHeight="true" outlineLevel="0" collapsed="false">
      <c r="A180" s="7" t="n">
        <v>79</v>
      </c>
      <c r="B180" s="7" t="s">
        <v>195</v>
      </c>
      <c r="C180" s="7" t="s">
        <v>196</v>
      </c>
      <c r="D180" s="7" t="s">
        <v>62</v>
      </c>
      <c r="E180" s="7" t="s">
        <v>197</v>
      </c>
      <c r="F180" s="7" t="s">
        <v>128</v>
      </c>
      <c r="G180" s="12" t="s">
        <v>215</v>
      </c>
      <c r="H180" s="7" t="s">
        <v>9</v>
      </c>
      <c r="I180" s="0" t="s">
        <v>303</v>
      </c>
      <c r="J180" s="9" t="n">
        <v>4</v>
      </c>
      <c r="K180" s="10" t="n">
        <f aca="false">IF(J180="","",J180)</f>
        <v>4</v>
      </c>
      <c r="L180" s="9" t="n">
        <v>5</v>
      </c>
      <c r="M180" s="10" t="n">
        <f aca="false">IF(L180="","",L180)</f>
        <v>5</v>
      </c>
      <c r="N180" s="9" t="n">
        <v>5</v>
      </c>
      <c r="O180" s="10" t="n">
        <f aca="false">IF(N180="","",N180)</f>
        <v>5</v>
      </c>
      <c r="P180" s="9" t="n">
        <v>5</v>
      </c>
      <c r="Q180" s="10" t="n">
        <f aca="false">IF(P180="","",P180)</f>
        <v>5</v>
      </c>
      <c r="R180" s="10" t="n">
        <f aca="false">IF(COUNTA(K180,M180,O180,Q180)=0,"",AVERAGE(K180,M180,O180,Q180))</f>
        <v>4.75</v>
      </c>
      <c r="S180" s="11" t="s">
        <v>39</v>
      </c>
      <c r="T180" s="11" t="s">
        <v>200</v>
      </c>
      <c r="U180" s="11"/>
    </row>
    <row r="181" customFormat="false" ht="15.75" hidden="false" customHeight="true" outlineLevel="0" collapsed="false">
      <c r="A181" s="7" t="n">
        <v>80</v>
      </c>
      <c r="B181" s="7" t="s">
        <v>195</v>
      </c>
      <c r="C181" s="7" t="s">
        <v>196</v>
      </c>
      <c r="D181" s="7" t="s">
        <v>62</v>
      </c>
      <c r="E181" s="7" t="s">
        <v>197</v>
      </c>
      <c r="F181" s="7" t="s">
        <v>128</v>
      </c>
      <c r="G181" s="12" t="s">
        <v>217</v>
      </c>
      <c r="H181" s="7" t="s">
        <v>9</v>
      </c>
      <c r="I181" s="0" t="s">
        <v>304</v>
      </c>
      <c r="J181" s="9" t="n">
        <v>4</v>
      </c>
      <c r="K181" s="10" t="n">
        <f aca="false">IF(J181="","",J181)</f>
        <v>4</v>
      </c>
      <c r="L181" s="9" t="n">
        <v>5</v>
      </c>
      <c r="M181" s="10" t="n">
        <f aca="false">IF(L181="","",L181)</f>
        <v>5</v>
      </c>
      <c r="N181" s="9" t="n">
        <v>5</v>
      </c>
      <c r="O181" s="10" t="n">
        <f aca="false">IF(N181="","",N181)</f>
        <v>5</v>
      </c>
      <c r="P181" s="9" t="n">
        <v>5</v>
      </c>
      <c r="Q181" s="10" t="n">
        <f aca="false">IF(P181="","",P181)</f>
        <v>5</v>
      </c>
      <c r="R181" s="10" t="n">
        <f aca="false">IF(COUNTA(K181,M181,O181,Q181)=0,"",AVERAGE(K181,M181,O181,Q181))</f>
        <v>4.75</v>
      </c>
      <c r="S181" s="11" t="s">
        <v>39</v>
      </c>
      <c r="T181" s="11" t="s">
        <v>200</v>
      </c>
      <c r="U181" s="11"/>
    </row>
    <row r="182" customFormat="false" ht="15.75" hidden="false" customHeight="true" outlineLevel="0" collapsed="false">
      <c r="A182" s="7" t="n">
        <v>81</v>
      </c>
      <c r="B182" s="7" t="s">
        <v>219</v>
      </c>
      <c r="C182" s="7" t="s">
        <v>220</v>
      </c>
      <c r="D182" s="7" t="s">
        <v>62</v>
      </c>
      <c r="E182" s="7" t="s">
        <v>221</v>
      </c>
      <c r="F182" s="7" t="s">
        <v>128</v>
      </c>
      <c r="G182" s="12" t="s">
        <v>222</v>
      </c>
      <c r="H182" s="7" t="s">
        <v>9</v>
      </c>
      <c r="I182" s="0" t="s">
        <v>305</v>
      </c>
      <c r="J182" s="9" t="n">
        <v>4</v>
      </c>
      <c r="K182" s="10" t="n">
        <f aca="false">IF(J182="","",J182)</f>
        <v>4</v>
      </c>
      <c r="L182" s="9" t="n">
        <v>5</v>
      </c>
      <c r="M182" s="10" t="n">
        <f aca="false">IF(L182="","",L182)</f>
        <v>5</v>
      </c>
      <c r="N182" s="9" t="n">
        <v>5</v>
      </c>
      <c r="O182" s="10" t="n">
        <f aca="false">IF(N182="","",N182)</f>
        <v>5</v>
      </c>
      <c r="P182" s="9" t="n">
        <v>5</v>
      </c>
      <c r="Q182" s="10" t="n">
        <f aca="false">IF(P182="","",P182)</f>
        <v>5</v>
      </c>
      <c r="R182" s="10" t="n">
        <f aca="false">IF(COUNTA(K182,M182,O182,Q182)=0,"",AVERAGE(K182,M182,O182,Q182))</f>
        <v>4.75</v>
      </c>
      <c r="S182" s="11" t="s">
        <v>39</v>
      </c>
      <c r="T182" s="11" t="s">
        <v>224</v>
      </c>
      <c r="U182" s="11"/>
    </row>
    <row r="183" customFormat="false" ht="15.75" hidden="false" customHeight="true" outlineLevel="0" collapsed="false">
      <c r="A183" s="7" t="n">
        <v>82</v>
      </c>
      <c r="B183" s="7" t="s">
        <v>219</v>
      </c>
      <c r="C183" s="7" t="s">
        <v>220</v>
      </c>
      <c r="D183" s="7" t="s">
        <v>62</v>
      </c>
      <c r="E183" s="7" t="s">
        <v>221</v>
      </c>
      <c r="F183" s="7" t="s">
        <v>128</v>
      </c>
      <c r="G183" s="12" t="s">
        <v>225</v>
      </c>
      <c r="H183" s="7" t="s">
        <v>9</v>
      </c>
      <c r="I183" s="0" t="s">
        <v>226</v>
      </c>
      <c r="J183" s="9" t="n">
        <v>5</v>
      </c>
      <c r="K183" s="10" t="n">
        <f aca="false">IF(J183="","",J183)</f>
        <v>5</v>
      </c>
      <c r="L183" s="9" t="n">
        <v>5</v>
      </c>
      <c r="M183" s="10" t="n">
        <f aca="false">IF(L183="","",L183)</f>
        <v>5</v>
      </c>
      <c r="N183" s="9" t="n">
        <v>5</v>
      </c>
      <c r="O183" s="10" t="n">
        <f aca="false">IF(N183="","",N183)</f>
        <v>5</v>
      </c>
      <c r="P183" s="9" t="n">
        <v>5</v>
      </c>
      <c r="Q183" s="10" t="n">
        <f aca="false">IF(P183="","",P183)</f>
        <v>5</v>
      </c>
      <c r="R183" s="10" t="n">
        <f aca="false">IF(COUNTA(K183,M183,O183,Q183)=0,"",AVERAGE(K183,M183,O183,Q183))</f>
        <v>5</v>
      </c>
      <c r="S183" s="11" t="s">
        <v>39</v>
      </c>
      <c r="T183" s="11" t="s">
        <v>224</v>
      </c>
      <c r="U183" s="11"/>
    </row>
    <row r="184" customFormat="false" ht="15.75" hidden="false" customHeight="true" outlineLevel="0" collapsed="false">
      <c r="A184" s="7" t="n">
        <v>83</v>
      </c>
      <c r="B184" s="7" t="s">
        <v>219</v>
      </c>
      <c r="C184" s="7" t="s">
        <v>220</v>
      </c>
      <c r="D184" s="7" t="s">
        <v>62</v>
      </c>
      <c r="E184" s="7" t="s">
        <v>221</v>
      </c>
      <c r="F184" s="7" t="s">
        <v>128</v>
      </c>
      <c r="G184" s="12" t="s">
        <v>227</v>
      </c>
      <c r="H184" s="7" t="s">
        <v>9</v>
      </c>
      <c r="I184" s="0" t="s">
        <v>306</v>
      </c>
      <c r="J184" s="9" t="n">
        <v>4</v>
      </c>
      <c r="K184" s="10" t="n">
        <f aca="false">IF(J184="","",J184)</f>
        <v>4</v>
      </c>
      <c r="L184" s="9" t="n">
        <v>5</v>
      </c>
      <c r="M184" s="10" t="n">
        <f aca="false">IF(L184="","",L184)</f>
        <v>5</v>
      </c>
      <c r="N184" s="9" t="n">
        <v>5</v>
      </c>
      <c r="O184" s="10" t="n">
        <f aca="false">IF(N184="","",N184)</f>
        <v>5</v>
      </c>
      <c r="P184" s="9" t="n">
        <v>5</v>
      </c>
      <c r="Q184" s="10" t="n">
        <f aca="false">IF(P184="","",P184)</f>
        <v>5</v>
      </c>
      <c r="R184" s="10" t="n">
        <f aca="false">IF(COUNTA(K184,M184,O184,Q184)=0,"",AVERAGE(K184,M184,O184,Q184))</f>
        <v>4.75</v>
      </c>
      <c r="S184" s="11" t="s">
        <v>39</v>
      </c>
      <c r="T184" s="11" t="s">
        <v>224</v>
      </c>
      <c r="U184" s="11"/>
    </row>
    <row r="185" customFormat="false" ht="30.75" hidden="false" customHeight="true" outlineLevel="0" collapsed="false">
      <c r="A185" s="7" t="n">
        <v>84</v>
      </c>
      <c r="B185" s="7" t="s">
        <v>219</v>
      </c>
      <c r="C185" s="7" t="s">
        <v>220</v>
      </c>
      <c r="D185" s="7" t="s">
        <v>62</v>
      </c>
      <c r="E185" s="7" t="s">
        <v>221</v>
      </c>
      <c r="F185" s="7" t="s">
        <v>128</v>
      </c>
      <c r="G185" s="12" t="s">
        <v>229</v>
      </c>
      <c r="H185" s="7" t="s">
        <v>9</v>
      </c>
      <c r="I185" s="0" t="s">
        <v>307</v>
      </c>
      <c r="J185" s="9" t="n">
        <v>4</v>
      </c>
      <c r="K185" s="10" t="n">
        <f aca="false">IF(J185="","",J185)</f>
        <v>4</v>
      </c>
      <c r="L185" s="9" t="n">
        <v>5</v>
      </c>
      <c r="M185" s="10" t="n">
        <f aca="false">IF(L185="","",L185)</f>
        <v>5</v>
      </c>
      <c r="N185" s="9" t="n">
        <v>5</v>
      </c>
      <c r="O185" s="10" t="n">
        <f aca="false">IF(N185="","",N185)</f>
        <v>5</v>
      </c>
      <c r="P185" s="9" t="n">
        <v>5</v>
      </c>
      <c r="Q185" s="10" t="n">
        <f aca="false">IF(P185="","",P185)</f>
        <v>5</v>
      </c>
      <c r="R185" s="10" t="n">
        <f aca="false">IF(COUNTA(K185,M185,O185,Q185)=0,"",AVERAGE(K185,M185,O185,Q185))</f>
        <v>4.75</v>
      </c>
      <c r="S185" s="11" t="s">
        <v>39</v>
      </c>
      <c r="T185" s="11" t="s">
        <v>224</v>
      </c>
      <c r="U185" s="11"/>
    </row>
    <row r="186" customFormat="false" ht="15.75" hidden="false" customHeight="true" outlineLevel="0" collapsed="false">
      <c r="A186" s="7" t="n">
        <v>85</v>
      </c>
      <c r="B186" s="7" t="s">
        <v>219</v>
      </c>
      <c r="C186" s="7" t="s">
        <v>220</v>
      </c>
      <c r="D186" s="7" t="s">
        <v>62</v>
      </c>
      <c r="E186" s="7" t="s">
        <v>221</v>
      </c>
      <c r="F186" s="7" t="s">
        <v>128</v>
      </c>
      <c r="G186" s="12" t="s">
        <v>231</v>
      </c>
      <c r="H186" s="7" t="s">
        <v>9</v>
      </c>
      <c r="I186" s="0" t="s">
        <v>308</v>
      </c>
      <c r="J186" s="9" t="n">
        <v>4</v>
      </c>
      <c r="K186" s="10" t="n">
        <f aca="false">IF(J186="","",J186)</f>
        <v>4</v>
      </c>
      <c r="L186" s="9" t="n">
        <v>5</v>
      </c>
      <c r="M186" s="10" t="n">
        <f aca="false">IF(L186="","",L186)</f>
        <v>5</v>
      </c>
      <c r="N186" s="9" t="n">
        <v>5</v>
      </c>
      <c r="O186" s="10" t="n">
        <f aca="false">IF(N186="","",N186)</f>
        <v>5</v>
      </c>
      <c r="P186" s="9" t="n">
        <v>5</v>
      </c>
      <c r="Q186" s="10" t="n">
        <f aca="false">IF(P186="","",P186)</f>
        <v>5</v>
      </c>
      <c r="R186" s="10" t="n">
        <f aca="false">IF(COUNTA(K186,M186,O186,Q186)=0,"",AVERAGE(K186,M186,O186,Q186))</f>
        <v>4.75</v>
      </c>
      <c r="S186" s="11" t="s">
        <v>39</v>
      </c>
      <c r="T186" s="11" t="s">
        <v>224</v>
      </c>
      <c r="U186" s="11"/>
    </row>
    <row r="187" customFormat="false" ht="30.75" hidden="false" customHeight="true" outlineLevel="0" collapsed="false">
      <c r="A187" s="7" t="n">
        <v>86</v>
      </c>
      <c r="B187" s="7" t="s">
        <v>219</v>
      </c>
      <c r="C187" s="7" t="s">
        <v>220</v>
      </c>
      <c r="D187" s="7" t="s">
        <v>62</v>
      </c>
      <c r="E187" s="7" t="s">
        <v>221</v>
      </c>
      <c r="F187" s="7" t="s">
        <v>128</v>
      </c>
      <c r="G187" s="12" t="s">
        <v>233</v>
      </c>
      <c r="H187" s="7" t="s">
        <v>9</v>
      </c>
      <c r="I187" s="0" t="s">
        <v>309</v>
      </c>
      <c r="J187" s="9" t="n">
        <v>4</v>
      </c>
      <c r="K187" s="10" t="n">
        <f aca="false">IF(J187="","",J187)</f>
        <v>4</v>
      </c>
      <c r="L187" s="9" t="n">
        <v>5</v>
      </c>
      <c r="M187" s="10" t="n">
        <f aca="false">IF(L187="","",L187)</f>
        <v>5</v>
      </c>
      <c r="N187" s="9" t="n">
        <v>5</v>
      </c>
      <c r="O187" s="10" t="n">
        <f aca="false">IF(N187="","",N187)</f>
        <v>5</v>
      </c>
      <c r="P187" s="9" t="n">
        <v>5</v>
      </c>
      <c r="Q187" s="10" t="n">
        <f aca="false">IF(P187="","",P187)</f>
        <v>5</v>
      </c>
      <c r="R187" s="10" t="n">
        <f aca="false">IF(COUNTA(K187,M187,O187,Q187)=0,"",AVERAGE(K187,M187,O187,Q187))</f>
        <v>4.75</v>
      </c>
      <c r="S187" s="11" t="s">
        <v>39</v>
      </c>
      <c r="T187" s="11" t="s">
        <v>224</v>
      </c>
      <c r="U187" s="11"/>
    </row>
    <row r="188" customFormat="false" ht="15.75" hidden="false" customHeight="true" outlineLevel="0" collapsed="false">
      <c r="A188" s="7" t="n">
        <v>87</v>
      </c>
      <c r="B188" s="7" t="s">
        <v>219</v>
      </c>
      <c r="C188" s="7" t="s">
        <v>220</v>
      </c>
      <c r="D188" s="7" t="s">
        <v>62</v>
      </c>
      <c r="E188" s="7" t="s">
        <v>221</v>
      </c>
      <c r="F188" s="7" t="s">
        <v>128</v>
      </c>
      <c r="G188" s="12" t="s">
        <v>235</v>
      </c>
      <c r="H188" s="7" t="s">
        <v>9</v>
      </c>
      <c r="I188" s="0" t="s">
        <v>310</v>
      </c>
      <c r="J188" s="9" t="n">
        <v>4</v>
      </c>
      <c r="K188" s="10" t="n">
        <f aca="false">IF(J188="","",J188)</f>
        <v>4</v>
      </c>
      <c r="L188" s="9" t="n">
        <v>5</v>
      </c>
      <c r="M188" s="10" t="n">
        <f aca="false">IF(L188="","",L188)</f>
        <v>5</v>
      </c>
      <c r="N188" s="9" t="n">
        <v>5</v>
      </c>
      <c r="O188" s="10" t="n">
        <f aca="false">IF(N188="","",N188)</f>
        <v>5</v>
      </c>
      <c r="P188" s="9" t="n">
        <v>5</v>
      </c>
      <c r="Q188" s="10" t="n">
        <f aca="false">IF(P188="","",P188)</f>
        <v>5</v>
      </c>
      <c r="R188" s="10" t="n">
        <f aca="false">IF(COUNTA(K188,M188,O188,Q188)=0,"",AVERAGE(K188,M188,O188,Q188))</f>
        <v>4.75</v>
      </c>
      <c r="S188" s="11" t="s">
        <v>39</v>
      </c>
      <c r="T188" s="11" t="s">
        <v>224</v>
      </c>
      <c r="U188" s="11"/>
    </row>
    <row r="189" customFormat="false" ht="15.75" hidden="false" customHeight="true" outlineLevel="0" collapsed="false">
      <c r="A189" s="7" t="n">
        <v>88</v>
      </c>
      <c r="B189" s="7" t="s">
        <v>219</v>
      </c>
      <c r="C189" s="7" t="s">
        <v>220</v>
      </c>
      <c r="D189" s="7" t="s">
        <v>62</v>
      </c>
      <c r="E189" s="7" t="s">
        <v>221</v>
      </c>
      <c r="F189" s="7" t="s">
        <v>128</v>
      </c>
      <c r="G189" s="12" t="s">
        <v>237</v>
      </c>
      <c r="H189" s="7" t="s">
        <v>9</v>
      </c>
      <c r="I189" s="0" t="s">
        <v>311</v>
      </c>
      <c r="J189" s="9" t="n">
        <v>4</v>
      </c>
      <c r="K189" s="10" t="n">
        <f aca="false">IF(J189="","",J189)</f>
        <v>4</v>
      </c>
      <c r="L189" s="9" t="n">
        <v>5</v>
      </c>
      <c r="M189" s="10" t="n">
        <f aca="false">IF(L189="","",L189)</f>
        <v>5</v>
      </c>
      <c r="N189" s="9" t="n">
        <v>5</v>
      </c>
      <c r="O189" s="10" t="n">
        <f aca="false">IF(N189="","",N189)</f>
        <v>5</v>
      </c>
      <c r="P189" s="9" t="n">
        <v>5</v>
      </c>
      <c r="Q189" s="10" t="n">
        <f aca="false">IF(P189="","",P189)</f>
        <v>5</v>
      </c>
      <c r="R189" s="10" t="n">
        <f aca="false">IF(COUNTA(K189,M189,O189,Q189)=0,"",AVERAGE(K189,M189,O189,Q189))</f>
        <v>4.75</v>
      </c>
      <c r="S189" s="11" t="s">
        <v>39</v>
      </c>
      <c r="T189" s="11" t="s">
        <v>224</v>
      </c>
      <c r="U189" s="11"/>
    </row>
    <row r="190" customFormat="false" ht="15.75" hidden="false" customHeight="true" outlineLevel="0" collapsed="false">
      <c r="A190" s="7" t="n">
        <v>89</v>
      </c>
      <c r="B190" s="7" t="s">
        <v>219</v>
      </c>
      <c r="C190" s="7" t="s">
        <v>220</v>
      </c>
      <c r="D190" s="7" t="s">
        <v>62</v>
      </c>
      <c r="E190" s="7" t="s">
        <v>221</v>
      </c>
      <c r="F190" s="7" t="s">
        <v>128</v>
      </c>
      <c r="G190" s="12" t="s">
        <v>239</v>
      </c>
      <c r="H190" s="7" t="s">
        <v>9</v>
      </c>
      <c r="I190" s="0" t="s">
        <v>240</v>
      </c>
      <c r="J190" s="9" t="n">
        <v>5</v>
      </c>
      <c r="K190" s="10" t="n">
        <f aca="false">IF(J190="","",J190)</f>
        <v>5</v>
      </c>
      <c r="L190" s="9" t="n">
        <v>5</v>
      </c>
      <c r="M190" s="10" t="n">
        <f aca="false">IF(L190="","",L190)</f>
        <v>5</v>
      </c>
      <c r="N190" s="9" t="n">
        <v>5</v>
      </c>
      <c r="O190" s="10" t="n">
        <f aca="false">IF(N190="","",N190)</f>
        <v>5</v>
      </c>
      <c r="P190" s="9" t="n">
        <v>5</v>
      </c>
      <c r="Q190" s="10" t="n">
        <f aca="false">IF(P190="","",P190)</f>
        <v>5</v>
      </c>
      <c r="R190" s="10" t="n">
        <f aca="false">IF(COUNTA(K190,M190,O190,Q190)=0,"",AVERAGE(K190,M190,O190,Q190))</f>
        <v>5</v>
      </c>
      <c r="S190" s="11" t="s">
        <v>39</v>
      </c>
      <c r="T190" s="11" t="s">
        <v>224</v>
      </c>
      <c r="U190" s="11"/>
    </row>
    <row r="191" customFormat="false" ht="15.75" hidden="false" customHeight="true" outlineLevel="0" collapsed="false">
      <c r="A191" s="7" t="n">
        <v>90</v>
      </c>
      <c r="B191" s="7" t="s">
        <v>219</v>
      </c>
      <c r="C191" s="7" t="s">
        <v>220</v>
      </c>
      <c r="D191" s="7" t="s">
        <v>62</v>
      </c>
      <c r="E191" s="7" t="s">
        <v>221</v>
      </c>
      <c r="F191" s="7" t="s">
        <v>128</v>
      </c>
      <c r="G191" s="12" t="s">
        <v>241</v>
      </c>
      <c r="H191" s="7" t="s">
        <v>9</v>
      </c>
      <c r="I191" s="0" t="s">
        <v>312</v>
      </c>
      <c r="J191" s="9" t="n">
        <v>4</v>
      </c>
      <c r="K191" s="10" t="n">
        <f aca="false">IF(J191="","",J191)</f>
        <v>4</v>
      </c>
      <c r="L191" s="9" t="n">
        <v>5</v>
      </c>
      <c r="M191" s="10" t="n">
        <f aca="false">IF(L191="","",L191)</f>
        <v>5</v>
      </c>
      <c r="N191" s="9" t="n">
        <v>5</v>
      </c>
      <c r="O191" s="10" t="n">
        <f aca="false">IF(N191="","",N191)</f>
        <v>5</v>
      </c>
      <c r="P191" s="9" t="n">
        <v>5</v>
      </c>
      <c r="Q191" s="10" t="n">
        <f aca="false">IF(P191="","",P191)</f>
        <v>5</v>
      </c>
      <c r="R191" s="10" t="n">
        <f aca="false">IF(COUNTA(K191,M191,O191,Q191)=0,"",AVERAGE(K191,M191,O191,Q191))</f>
        <v>4.75</v>
      </c>
      <c r="S191" s="11" t="s">
        <v>39</v>
      </c>
      <c r="T191" s="11" t="s">
        <v>224</v>
      </c>
      <c r="U191" s="11"/>
    </row>
    <row r="192" customFormat="false" ht="15.75" hidden="false" customHeight="true" outlineLevel="0" collapsed="false">
      <c r="A192" s="7" t="n">
        <v>91</v>
      </c>
      <c r="B192" s="7" t="s">
        <v>243</v>
      </c>
      <c r="C192" s="7" t="s">
        <v>244</v>
      </c>
      <c r="D192" s="7" t="s">
        <v>245</v>
      </c>
      <c r="E192" s="7" t="s">
        <v>246</v>
      </c>
      <c r="F192" s="7" t="s">
        <v>128</v>
      </c>
      <c r="G192" s="12" t="s">
        <v>247</v>
      </c>
      <c r="H192" s="7" t="s">
        <v>9</v>
      </c>
      <c r="I192" s="0" t="s">
        <v>313</v>
      </c>
      <c r="J192" s="9" t="n">
        <v>4</v>
      </c>
      <c r="K192" s="10" t="n">
        <f aca="false">IF(J192="","",J192)</f>
        <v>4</v>
      </c>
      <c r="L192" s="9" t="n">
        <v>5</v>
      </c>
      <c r="M192" s="10" t="n">
        <f aca="false">IF(L192="","",L192)</f>
        <v>5</v>
      </c>
      <c r="N192" s="9" t="n">
        <v>5</v>
      </c>
      <c r="O192" s="10" t="n">
        <f aca="false">IF(N192="","",N192)</f>
        <v>5</v>
      </c>
      <c r="P192" s="9" t="n">
        <v>5</v>
      </c>
      <c r="Q192" s="10" t="n">
        <f aca="false">IF(P192="","",P192)</f>
        <v>5</v>
      </c>
      <c r="R192" s="10" t="n">
        <f aca="false">IF(COUNTA(K192,M192,O192,Q192)=0,"",AVERAGE(K192,M192,O192,Q192))</f>
        <v>4.75</v>
      </c>
      <c r="S192" s="11" t="s">
        <v>39</v>
      </c>
      <c r="T192" s="11" t="s">
        <v>249</v>
      </c>
      <c r="U192" s="11"/>
    </row>
    <row r="193" customFormat="false" ht="15.75" hidden="false" customHeight="true" outlineLevel="0" collapsed="false">
      <c r="A193" s="7" t="n">
        <v>92</v>
      </c>
      <c r="B193" s="7" t="s">
        <v>243</v>
      </c>
      <c r="C193" s="7" t="s">
        <v>244</v>
      </c>
      <c r="D193" s="7" t="s">
        <v>245</v>
      </c>
      <c r="E193" s="7" t="s">
        <v>246</v>
      </c>
      <c r="F193" s="7" t="s">
        <v>128</v>
      </c>
      <c r="G193" s="12" t="s">
        <v>250</v>
      </c>
      <c r="H193" s="7" t="s">
        <v>9</v>
      </c>
      <c r="I193" s="0" t="s">
        <v>314</v>
      </c>
      <c r="J193" s="9" t="n">
        <v>4</v>
      </c>
      <c r="K193" s="10" t="n">
        <f aca="false">IF(J193="","",J193)</f>
        <v>4</v>
      </c>
      <c r="L193" s="9" t="n">
        <v>5</v>
      </c>
      <c r="M193" s="10" t="n">
        <f aca="false">IF(L193="","",L193)</f>
        <v>5</v>
      </c>
      <c r="N193" s="9" t="n">
        <v>5</v>
      </c>
      <c r="O193" s="10" t="n">
        <f aca="false">IF(N193="","",N193)</f>
        <v>5</v>
      </c>
      <c r="P193" s="9" t="n">
        <v>5</v>
      </c>
      <c r="Q193" s="10" t="n">
        <f aca="false">IF(P193="","",P193)</f>
        <v>5</v>
      </c>
      <c r="R193" s="10" t="n">
        <f aca="false">IF(COUNTA(K193,M193,O193,Q193)=0,"",AVERAGE(K193,M193,O193,Q193))</f>
        <v>4.75</v>
      </c>
      <c r="S193" s="11" t="s">
        <v>39</v>
      </c>
      <c r="T193" s="11" t="s">
        <v>249</v>
      </c>
      <c r="U193" s="11"/>
    </row>
    <row r="194" customFormat="false" ht="15.75" hidden="false" customHeight="true" outlineLevel="0" collapsed="false">
      <c r="A194" s="7" t="n">
        <v>93</v>
      </c>
      <c r="B194" s="7" t="s">
        <v>243</v>
      </c>
      <c r="C194" s="7" t="s">
        <v>244</v>
      </c>
      <c r="D194" s="7" t="s">
        <v>245</v>
      </c>
      <c r="E194" s="7" t="s">
        <v>246</v>
      </c>
      <c r="F194" s="7" t="s">
        <v>128</v>
      </c>
      <c r="G194" s="12" t="s">
        <v>252</v>
      </c>
      <c r="H194" s="7" t="s">
        <v>9</v>
      </c>
      <c r="I194" s="0" t="s">
        <v>315</v>
      </c>
      <c r="J194" s="9" t="n">
        <v>4</v>
      </c>
      <c r="K194" s="10" t="n">
        <f aca="false">IF(J194="","",J194)</f>
        <v>4</v>
      </c>
      <c r="L194" s="9" t="n">
        <v>5</v>
      </c>
      <c r="M194" s="10" t="n">
        <f aca="false">IF(L194="","",L194)</f>
        <v>5</v>
      </c>
      <c r="N194" s="9" t="n">
        <v>5</v>
      </c>
      <c r="O194" s="10" t="n">
        <f aca="false">IF(N194="","",N194)</f>
        <v>5</v>
      </c>
      <c r="P194" s="9" t="n">
        <v>5</v>
      </c>
      <c r="Q194" s="10" t="n">
        <f aca="false">IF(P194="","",P194)</f>
        <v>5</v>
      </c>
      <c r="R194" s="10" t="n">
        <f aca="false">IF(COUNTA(K194,M194,O194,Q194)=0,"",AVERAGE(K194,M194,O194,Q194))</f>
        <v>4.75</v>
      </c>
      <c r="S194" s="11" t="s">
        <v>39</v>
      </c>
      <c r="T194" s="11" t="s">
        <v>249</v>
      </c>
      <c r="U194" s="11"/>
    </row>
    <row r="195" customFormat="false" ht="15.75" hidden="false" customHeight="true" outlineLevel="0" collapsed="false">
      <c r="A195" s="7" t="n">
        <v>94</v>
      </c>
      <c r="B195" s="7" t="s">
        <v>243</v>
      </c>
      <c r="C195" s="7" t="s">
        <v>244</v>
      </c>
      <c r="D195" s="7" t="s">
        <v>245</v>
      </c>
      <c r="E195" s="7" t="s">
        <v>246</v>
      </c>
      <c r="F195" s="7" t="s">
        <v>128</v>
      </c>
      <c r="G195" s="12" t="s">
        <v>254</v>
      </c>
      <c r="H195" s="7" t="s">
        <v>9</v>
      </c>
      <c r="I195" s="0" t="s">
        <v>316</v>
      </c>
      <c r="J195" s="9" t="n">
        <v>4</v>
      </c>
      <c r="K195" s="10" t="n">
        <f aca="false">IF(J195="","",J195)</f>
        <v>4</v>
      </c>
      <c r="L195" s="9" t="n">
        <v>5</v>
      </c>
      <c r="M195" s="10" t="n">
        <f aca="false">IF(L195="","",L195)</f>
        <v>5</v>
      </c>
      <c r="N195" s="9" t="n">
        <v>5</v>
      </c>
      <c r="O195" s="10" t="n">
        <f aca="false">IF(N195="","",N195)</f>
        <v>5</v>
      </c>
      <c r="P195" s="9" t="n">
        <v>5</v>
      </c>
      <c r="Q195" s="10" t="n">
        <f aca="false">IF(P195="","",P195)</f>
        <v>5</v>
      </c>
      <c r="R195" s="10" t="n">
        <f aca="false">IF(COUNTA(K195,M195,O195,Q195)=0,"",AVERAGE(K195,M195,O195,Q195))</f>
        <v>4.75</v>
      </c>
      <c r="S195" s="11" t="s">
        <v>39</v>
      </c>
      <c r="T195" s="11" t="s">
        <v>249</v>
      </c>
      <c r="U195" s="11"/>
    </row>
    <row r="196" customFormat="false" ht="15.75" hidden="false" customHeight="true" outlineLevel="0" collapsed="false">
      <c r="A196" s="7" t="n">
        <v>95</v>
      </c>
      <c r="B196" s="7" t="s">
        <v>243</v>
      </c>
      <c r="C196" s="7" t="s">
        <v>244</v>
      </c>
      <c r="D196" s="7" t="s">
        <v>245</v>
      </c>
      <c r="E196" s="7" t="s">
        <v>246</v>
      </c>
      <c r="F196" s="7" t="s">
        <v>128</v>
      </c>
      <c r="G196" s="12" t="s">
        <v>256</v>
      </c>
      <c r="H196" s="7" t="s">
        <v>9</v>
      </c>
      <c r="I196" s="0" t="s">
        <v>317</v>
      </c>
      <c r="J196" s="9" t="n">
        <v>4</v>
      </c>
      <c r="K196" s="10" t="n">
        <f aca="false">IF(J196="","",J196)</f>
        <v>4</v>
      </c>
      <c r="L196" s="9" t="n">
        <v>5</v>
      </c>
      <c r="M196" s="10" t="n">
        <f aca="false">IF(L196="","",L196)</f>
        <v>5</v>
      </c>
      <c r="N196" s="9" t="n">
        <v>5</v>
      </c>
      <c r="O196" s="10" t="n">
        <f aca="false">IF(N196="","",N196)</f>
        <v>5</v>
      </c>
      <c r="P196" s="9" t="n">
        <v>5</v>
      </c>
      <c r="Q196" s="10" t="n">
        <f aca="false">IF(P196="","",P196)</f>
        <v>5</v>
      </c>
      <c r="R196" s="10" t="n">
        <f aca="false">IF(COUNTA(K196,M196,O196,Q196)=0,"",AVERAGE(K196,M196,O196,Q196))</f>
        <v>4.75</v>
      </c>
      <c r="S196" s="11" t="s">
        <v>39</v>
      </c>
      <c r="T196" s="11" t="s">
        <v>249</v>
      </c>
      <c r="U196" s="11"/>
    </row>
    <row r="197" customFormat="false" ht="15.75" hidden="false" customHeight="true" outlineLevel="0" collapsed="false">
      <c r="A197" s="7" t="n">
        <v>96</v>
      </c>
      <c r="B197" s="7" t="s">
        <v>243</v>
      </c>
      <c r="C197" s="7" t="s">
        <v>244</v>
      </c>
      <c r="D197" s="7" t="s">
        <v>245</v>
      </c>
      <c r="E197" s="7" t="s">
        <v>246</v>
      </c>
      <c r="F197" s="7" t="s">
        <v>128</v>
      </c>
      <c r="G197" s="12" t="s">
        <v>258</v>
      </c>
      <c r="H197" s="7" t="s">
        <v>9</v>
      </c>
      <c r="I197" s="0" t="s">
        <v>318</v>
      </c>
      <c r="J197" s="9" t="n">
        <v>4</v>
      </c>
      <c r="K197" s="10" t="n">
        <f aca="false">IF(J197="","",J197)</f>
        <v>4</v>
      </c>
      <c r="L197" s="9" t="n">
        <v>5</v>
      </c>
      <c r="M197" s="10" t="n">
        <f aca="false">IF(L197="","",L197)</f>
        <v>5</v>
      </c>
      <c r="N197" s="9" t="n">
        <v>5</v>
      </c>
      <c r="O197" s="10" t="n">
        <f aca="false">IF(N197="","",N197)</f>
        <v>5</v>
      </c>
      <c r="P197" s="9" t="n">
        <v>5</v>
      </c>
      <c r="Q197" s="10" t="n">
        <f aca="false">IF(P197="","",P197)</f>
        <v>5</v>
      </c>
      <c r="R197" s="10" t="n">
        <f aca="false">IF(COUNTA(K197,M197,O197,Q197)=0,"",AVERAGE(K197,M197,O197,Q197))</f>
        <v>4.75</v>
      </c>
      <c r="S197" s="11" t="s">
        <v>39</v>
      </c>
      <c r="T197" s="11" t="s">
        <v>249</v>
      </c>
      <c r="U197" s="11"/>
    </row>
    <row r="198" customFormat="false" ht="15.75" hidden="false" customHeight="true" outlineLevel="0" collapsed="false">
      <c r="A198" s="7" t="n">
        <v>97</v>
      </c>
      <c r="B198" s="7" t="s">
        <v>243</v>
      </c>
      <c r="C198" s="7" t="s">
        <v>244</v>
      </c>
      <c r="D198" s="7" t="s">
        <v>245</v>
      </c>
      <c r="E198" s="7" t="s">
        <v>246</v>
      </c>
      <c r="F198" s="7" t="s">
        <v>128</v>
      </c>
      <c r="G198" s="12" t="s">
        <v>260</v>
      </c>
      <c r="H198" s="7" t="s">
        <v>9</v>
      </c>
      <c r="I198" s="0" t="s">
        <v>319</v>
      </c>
      <c r="J198" s="9" t="n">
        <v>4</v>
      </c>
      <c r="K198" s="10" t="n">
        <f aca="false">IF(J198="","",J198)</f>
        <v>4</v>
      </c>
      <c r="L198" s="9" t="n">
        <v>5</v>
      </c>
      <c r="M198" s="10" t="n">
        <f aca="false">IF(L198="","",L198)</f>
        <v>5</v>
      </c>
      <c r="N198" s="9" t="n">
        <v>5</v>
      </c>
      <c r="O198" s="10" t="n">
        <f aca="false">IF(N198="","",N198)</f>
        <v>5</v>
      </c>
      <c r="P198" s="9" t="n">
        <v>5</v>
      </c>
      <c r="Q198" s="10" t="n">
        <f aca="false">IF(P198="","",P198)</f>
        <v>5</v>
      </c>
      <c r="R198" s="10" t="n">
        <f aca="false">IF(COUNTA(K198,M198,O198,Q198)=0,"",AVERAGE(K198,M198,O198,Q198))</f>
        <v>4.75</v>
      </c>
      <c r="S198" s="11" t="s">
        <v>39</v>
      </c>
      <c r="T198" s="11" t="s">
        <v>249</v>
      </c>
      <c r="U198" s="11"/>
    </row>
    <row r="199" customFormat="false" ht="15.75" hidden="false" customHeight="true" outlineLevel="0" collapsed="false">
      <c r="A199" s="7" t="n">
        <v>98</v>
      </c>
      <c r="B199" s="7" t="s">
        <v>243</v>
      </c>
      <c r="C199" s="7" t="s">
        <v>244</v>
      </c>
      <c r="D199" s="7" t="s">
        <v>245</v>
      </c>
      <c r="E199" s="7" t="s">
        <v>246</v>
      </c>
      <c r="F199" s="7" t="s">
        <v>128</v>
      </c>
      <c r="G199" s="12" t="s">
        <v>262</v>
      </c>
      <c r="H199" s="7" t="s">
        <v>9</v>
      </c>
      <c r="I199" s="0" t="s">
        <v>320</v>
      </c>
      <c r="J199" s="9" t="n">
        <v>4</v>
      </c>
      <c r="K199" s="10" t="n">
        <f aca="false">IF(J199="","",J199)</f>
        <v>4</v>
      </c>
      <c r="L199" s="9" t="n">
        <v>5</v>
      </c>
      <c r="M199" s="10" t="n">
        <f aca="false">IF(L199="","",L199)</f>
        <v>5</v>
      </c>
      <c r="N199" s="9" t="n">
        <v>5</v>
      </c>
      <c r="O199" s="10" t="n">
        <f aca="false">IF(N199="","",N199)</f>
        <v>5</v>
      </c>
      <c r="P199" s="9" t="n">
        <v>5</v>
      </c>
      <c r="Q199" s="10" t="n">
        <f aca="false">IF(P199="","",P199)</f>
        <v>5</v>
      </c>
      <c r="R199" s="10" t="n">
        <f aca="false">IF(COUNTA(K199,M199,O199,Q199)=0,"",AVERAGE(K199,M199,O199,Q199))</f>
        <v>4.75</v>
      </c>
      <c r="S199" s="11" t="s">
        <v>39</v>
      </c>
      <c r="T199" s="11" t="s">
        <v>249</v>
      </c>
      <c r="U199" s="11"/>
    </row>
    <row r="200" customFormat="false" ht="15.75" hidden="false" customHeight="true" outlineLevel="0" collapsed="false">
      <c r="A200" s="7" t="n">
        <v>99</v>
      </c>
      <c r="B200" s="7" t="s">
        <v>243</v>
      </c>
      <c r="C200" s="7" t="s">
        <v>244</v>
      </c>
      <c r="D200" s="7" t="s">
        <v>245</v>
      </c>
      <c r="E200" s="7" t="s">
        <v>246</v>
      </c>
      <c r="F200" s="7" t="s">
        <v>128</v>
      </c>
      <c r="G200" s="12" t="s">
        <v>264</v>
      </c>
      <c r="H200" s="7" t="s">
        <v>9</v>
      </c>
      <c r="I200" s="0" t="s">
        <v>321</v>
      </c>
      <c r="J200" s="9" t="n">
        <v>4</v>
      </c>
      <c r="K200" s="10" t="n">
        <f aca="false">IF(J200="","",J200)</f>
        <v>4</v>
      </c>
      <c r="L200" s="9" t="n">
        <v>5</v>
      </c>
      <c r="M200" s="10" t="n">
        <f aca="false">IF(L200="","",L200)</f>
        <v>5</v>
      </c>
      <c r="N200" s="9" t="n">
        <v>5</v>
      </c>
      <c r="O200" s="10" t="n">
        <f aca="false">IF(N200="","",N200)</f>
        <v>5</v>
      </c>
      <c r="P200" s="9" t="n">
        <v>5</v>
      </c>
      <c r="Q200" s="10" t="n">
        <f aca="false">IF(P200="","",P200)</f>
        <v>5</v>
      </c>
      <c r="R200" s="10" t="n">
        <f aca="false">IF(COUNTA(K200,M200,O200,Q200)=0,"",AVERAGE(K200,M200,O200,Q200))</f>
        <v>4.75</v>
      </c>
      <c r="S200" s="11" t="s">
        <v>39</v>
      </c>
      <c r="T200" s="11" t="s">
        <v>249</v>
      </c>
      <c r="U200" s="11"/>
    </row>
    <row r="201" customFormat="false" ht="15.75" hidden="false" customHeight="true" outlineLevel="0" collapsed="false">
      <c r="A201" s="7" t="n">
        <v>100</v>
      </c>
      <c r="B201" s="7" t="s">
        <v>243</v>
      </c>
      <c r="C201" s="7" t="s">
        <v>244</v>
      </c>
      <c r="D201" s="7" t="s">
        <v>245</v>
      </c>
      <c r="E201" s="7" t="s">
        <v>246</v>
      </c>
      <c r="F201" s="7" t="s">
        <v>128</v>
      </c>
      <c r="G201" s="12" t="s">
        <v>266</v>
      </c>
      <c r="H201" s="7" t="s">
        <v>9</v>
      </c>
      <c r="I201" s="0" t="s">
        <v>322</v>
      </c>
      <c r="J201" s="9" t="n">
        <v>4</v>
      </c>
      <c r="K201" s="10" t="n">
        <f aca="false">IF(J201="","",J201)</f>
        <v>4</v>
      </c>
      <c r="L201" s="9" t="n">
        <v>5</v>
      </c>
      <c r="M201" s="10" t="n">
        <f aca="false">IF(L201="","",L201)</f>
        <v>5</v>
      </c>
      <c r="N201" s="9" t="n">
        <v>5</v>
      </c>
      <c r="O201" s="10" t="n">
        <f aca="false">IF(N201="","",N201)</f>
        <v>5</v>
      </c>
      <c r="P201" s="9" t="n">
        <v>5</v>
      </c>
      <c r="Q201" s="10" t="n">
        <f aca="false">IF(P201="","",P201)</f>
        <v>5</v>
      </c>
      <c r="R201" s="10" t="n">
        <f aca="false">IF(COUNTA(K201,M201,O201,Q201)=0,"",AVERAGE(K201,M201,O201,Q201))</f>
        <v>4.75</v>
      </c>
      <c r="S201" s="11" t="s">
        <v>39</v>
      </c>
      <c r="T201" s="11" t="s">
        <v>249</v>
      </c>
      <c r="U201" s="11"/>
    </row>
  </sheetData>
  <autoFilter ref="A1:AD201"/>
  <dataValidations count="1">
    <dataValidation allowBlank="true" error="Scores must be whole numbers from 1 to 5." errorStyle="stop" operator="between" prompt="Enter a score from 1 to 5." showDropDown="false" showErrorMessage="false" showInputMessage="false" sqref="J2:K201 N2:O201 R2:S201 V2:W201"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0"/>
  </cols>
  <sheetData>
    <row r="1" customFormat="false" ht="18.75" hidden="false" customHeight="true" outlineLevel="0" collapsed="false">
      <c r="A1" s="19" t="s">
        <v>323</v>
      </c>
    </row>
    <row r="3" customFormat="false" ht="15" hidden="false" customHeight="false" outlineLevel="0" collapsed="false">
      <c r="A3" s="0" t="s">
        <v>324</v>
      </c>
    </row>
    <row r="4" customFormat="false" ht="15" hidden="false" customHeight="false" outlineLevel="0" collapsed="false">
      <c r="A4" s="0" t="s">
        <v>325</v>
      </c>
    </row>
    <row r="5" customFormat="false" ht="15" hidden="false" customHeight="false" outlineLevel="0" collapsed="false">
      <c r="A5" s="0" t="s">
        <v>326</v>
      </c>
    </row>
    <row r="6" customFormat="false" ht="15" hidden="false" customHeight="false" outlineLevel="0" collapsed="false">
      <c r="A6" s="0" t="s">
        <v>327</v>
      </c>
    </row>
    <row r="7" customFormat="false" ht="15" hidden="false" customHeight="false" outlineLevel="0" collapsed="false">
      <c r="A7" s="0" t="s">
        <v>328</v>
      </c>
    </row>
    <row r="8" customFormat="false" ht="15" hidden="false" customHeight="false" outlineLevel="0" collapsed="false">
      <c r="A8" s="0" t="s">
        <v>329</v>
      </c>
    </row>
    <row r="9" customFormat="false" ht="15" hidden="false" customHeight="false" outlineLevel="0" collapsed="false">
      <c r="A9" s="0" t="s">
        <v>330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3" min="2" style="0" width="12"/>
  </cols>
  <sheetData>
    <row r="1" customFormat="false" ht="18.75" hidden="false" customHeight="true" outlineLevel="0" collapsed="false">
      <c r="A1" s="19" t="s">
        <v>331</v>
      </c>
    </row>
    <row r="3" customFormat="false" ht="15" hidden="false" customHeight="false" outlineLevel="0" collapsed="false">
      <c r="A3" s="20" t="s">
        <v>8</v>
      </c>
      <c r="B3" s="20" t="s">
        <v>9</v>
      </c>
      <c r="C3" s="20" t="s">
        <v>10</v>
      </c>
    </row>
    <row r="4" customFormat="false" ht="15" hidden="false" customHeight="false" outlineLevel="0" collapsed="false">
      <c r="A4" s="18" t="s">
        <v>6</v>
      </c>
      <c r="B4" s="21" t="n">
        <f aca="false">IFERROR(AVERAGEIF(Evaluation!$H$2:$H$201,"Grok",Evaluation!$K$2:$K$201),"")</f>
        <v>4.5</v>
      </c>
      <c r="C4" s="21" t="n">
        <f aca="false">IFERROR(AVERAGEIF(Evaluation!$H$2:$H$201,"Gemini",Evaluation!$K$2:$K$201),"")</f>
        <v>5</v>
      </c>
    </row>
    <row r="5" customFormat="false" ht="15" hidden="false" customHeight="false" outlineLevel="0" collapsed="false">
      <c r="A5" s="18" t="s">
        <v>7</v>
      </c>
      <c r="B5" s="21" t="n">
        <f aca="false">IFERROR(AVERAGEIF(Evaluation!$H$2:$H$201,"Grok",Evaluation!$M$2:$M$201),"")</f>
        <v>4.53</v>
      </c>
      <c r="C5" s="21" t="n">
        <f aca="false">IFERROR(AVERAGEIF(Evaluation!$H$2:$H$201,"Gemini",Evaluation!$M$2:$M$201),"")</f>
        <v>4.55</v>
      </c>
    </row>
    <row r="6" customFormat="false" ht="15" hidden="false" customHeight="false" outlineLevel="0" collapsed="false">
      <c r="A6" s="18" t="s">
        <v>24</v>
      </c>
      <c r="B6" s="21" t="n">
        <f aca="false">IFERROR(AVERAGEIF(Evaluation!$H$2:$H$201,"Grok",Evaluation!$O$2:$O$201),"")</f>
        <v>4.57</v>
      </c>
      <c r="C6" s="21" t="n">
        <f aca="false">IFERROR(AVERAGEIF(Evaluation!$H$2:$H$201,"Gemini",Evaluation!$O$2:$O$201),"")</f>
        <v>4.57</v>
      </c>
    </row>
    <row r="7" customFormat="false" ht="15" hidden="false" customHeight="false" outlineLevel="0" collapsed="false">
      <c r="A7" s="18" t="s">
        <v>26</v>
      </c>
      <c r="B7" s="21" t="n">
        <f aca="false">IFERROR(AVERAGEIF(Evaluation!$H$2:$H$201,"Grok",Evaluation!$Q$2:$Q$201),"")</f>
        <v>5</v>
      </c>
      <c r="C7" s="21" t="n">
        <f aca="false">IFERROR(AVERAGEIF(Evaluation!$H$2:$H$201,"Gemini",Evaluation!$Q$2:$Q$201),"")</f>
        <v>5</v>
      </c>
    </row>
    <row r="8" customFormat="false" ht="15" hidden="false" customHeight="false" outlineLevel="0" collapsed="false">
      <c r="A8" s="18" t="s">
        <v>332</v>
      </c>
      <c r="B8" s="21" t="n">
        <f aca="false">IFERROR(AVERAGEIF(Evaluation!$H$2:$H$201,"Grok",Evaluation!$R$2:$R$201),"")</f>
        <v>4.65</v>
      </c>
      <c r="C8" s="21" t="n">
        <f aca="false">IFERROR(AVERAGEIF(Evaluation!$H$2:$H$201,"Gemini",Evaluation!$R$2:$R$201),"")</f>
        <v>4.78</v>
      </c>
    </row>
    <row r="9" customFormat="false" ht="15" hidden="false" customHeight="false" outlineLevel="0" collapsed="false">
      <c r="A9" s="18"/>
      <c r="B9" s="18"/>
      <c r="C9" s="18"/>
    </row>
    <row r="10" customFormat="false" ht="15" hidden="false" customHeight="false" outlineLevel="0" collapsed="false">
      <c r="A10" s="18"/>
      <c r="B10" s="18"/>
      <c r="C10" s="18"/>
    </row>
    <row r="11" customFormat="false" ht="15.75" hidden="false" customHeight="true" outlineLevel="0" collapsed="false">
      <c r="A11" s="22" t="s">
        <v>333</v>
      </c>
      <c r="B11" s="18"/>
      <c r="C11" s="18"/>
    </row>
    <row r="12" customFormat="false" ht="15" hidden="false" customHeight="false" outlineLevel="0" collapsed="false">
      <c r="A12" s="20" t="s">
        <v>8</v>
      </c>
      <c r="B12" s="20" t="s">
        <v>9</v>
      </c>
      <c r="C12" s="20" t="s">
        <v>10</v>
      </c>
    </row>
    <row r="13" customFormat="false" ht="15" hidden="false" customHeight="false" outlineLevel="0" collapsed="false">
      <c r="A13" s="18" t="s">
        <v>334</v>
      </c>
      <c r="B13" s="23" t="n">
        <f aca="false">COUNTIF(Evaluation!$H$2:$H$201,"Grok")</f>
        <v>100</v>
      </c>
      <c r="C13" s="23" t="n">
        <f aca="false">COUNTIF(Evaluation!$H$2:$H$201,"Gemini")</f>
        <v>100</v>
      </c>
    </row>
    <row r="14" customFormat="false" ht="15" hidden="false" customHeight="false" outlineLevel="0" collapsed="false">
      <c r="A14" s="18" t="s">
        <v>335</v>
      </c>
      <c r="B14" s="23" t="n">
        <f aca="false">COUNT(Evaluation!$R$2:$R$201)/2</f>
        <v>100</v>
      </c>
      <c r="C14" s="23" t="n">
        <f aca="false">COUNT(Evaluation!$R$2:$R$201)/2</f>
        <v>100</v>
      </c>
    </row>
    <row r="15" customFormat="false" ht="30" hidden="false" customHeight="true" outlineLevel="0" collapsed="false">
      <c r="A15" s="18" t="s">
        <v>336</v>
      </c>
      <c r="B15" s="23" t="n">
        <f aca="false">COUNTIFS(Evaluation!$H$2:$H$201,"Grok",Evaluation!$F$2:$F$201,"Yes")</f>
        <v>60</v>
      </c>
      <c r="C15" s="23" t="n">
        <f aca="false">COUNTIFS(Evaluation!$H$2:$H$201,"Gemini",Evaluation!$F$2:$F$201,"Yes")</f>
        <v>60</v>
      </c>
    </row>
    <row r="16" customFormat="false" ht="15" hidden="false" customHeight="false" outlineLevel="0" collapsed="false">
      <c r="A16" s="18" t="s">
        <v>337</v>
      </c>
      <c r="B16" s="23" t="n">
        <f aca="false">COUNTIFS(Evaluation!$H$2:$H$201,"Grok",Evaluation!$S$2:$S$201,"&lt;&gt;none",Evaluation!$S$2:$S$201,"&lt;&gt;")</f>
        <v>13</v>
      </c>
      <c r="C16" s="23" t="n">
        <f aca="false">COUNTIFS(Evaluation!$H$2:$H$201,"Gemini",Evaluation!$S$2:$S$201,"&lt;&gt;none",Evaluation!$S$2:$S$201,"&lt;&gt;")</f>
        <v>0</v>
      </c>
    </row>
    <row r="17" customFormat="false" ht="15" hidden="false" customHeight="false" outlineLevel="0" collapsed="false">
      <c r="A17" s="18" t="s">
        <v>338</v>
      </c>
      <c r="B17" s="23" t="n">
        <f aca="false">COUNTIF(Evaluation!$H$2:$H$201,"Grok")+COUNTIF(Evaluation!$H$2:$H$201,"Gemini")</f>
        <v>200</v>
      </c>
      <c r="C17" s="23" t="str">
        <f aca="false">""</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3" min="2" style="0" width="18"/>
  </cols>
  <sheetData>
    <row r="1" customFormat="false" ht="18.75" hidden="false" customHeight="true" outlineLevel="0" collapsed="false">
      <c r="A1" s="19" t="s">
        <v>339</v>
      </c>
    </row>
    <row r="3" customFormat="false" ht="15" hidden="false" customHeight="false" outlineLevel="0" collapsed="false">
      <c r="A3" s="24" t="s">
        <v>13</v>
      </c>
      <c r="B3" s="24" t="s">
        <v>340</v>
      </c>
      <c r="C3" s="24" t="s">
        <v>341</v>
      </c>
    </row>
    <row r="4" customFormat="false" ht="15" hidden="false" customHeight="false" outlineLevel="0" collapsed="false">
      <c r="A4" s="0" t="s">
        <v>32</v>
      </c>
      <c r="B4" s="5" t="n">
        <f aca="false">IFERROR(AVERAGEIFS(Evaluation!$R$2:$R$201,Evaluation!$B$2:$B$201,A4,Evaluation!$H$2:$H$201,"Grok"),"")</f>
        <v>4.55</v>
      </c>
      <c r="C4" s="5" t="n">
        <f aca="false">IFERROR(AVERAGEIFS(Evaluation!$R$2:$R$201,Evaluation!$B$2:$B$201,A4,Evaluation!$H$2:$H$201,"Gemini"),"")</f>
        <v>4.5</v>
      </c>
    </row>
    <row r="5" customFormat="false" ht="15" hidden="false" customHeight="false" outlineLevel="0" collapsed="false">
      <c r="A5" s="0" t="s">
        <v>60</v>
      </c>
      <c r="B5" s="5" t="n">
        <f aca="false">IFERROR(AVERAGEIFS(Evaluation!$R$2:$R$201,Evaluation!$B$2:$B$201,A5,Evaluation!$H$2:$H$201,"Grok"),"")</f>
        <v>4.525</v>
      </c>
      <c r="C5" s="5" t="n">
        <f aca="false">IFERROR(AVERAGEIFS(Evaluation!$R$2:$R$201,Evaluation!$B$2:$B$201,A5,Evaluation!$H$2:$H$201,"Gemini"),"")</f>
        <v>4.65</v>
      </c>
    </row>
    <row r="6" customFormat="false" ht="15" hidden="false" customHeight="false" outlineLevel="0" collapsed="false">
      <c r="A6" s="0" t="s">
        <v>82</v>
      </c>
      <c r="B6" s="5" t="n">
        <f aca="false">IFERROR(AVERAGEIFS(Evaluation!$R$2:$R$201,Evaluation!$B$2:$B$201,A6,Evaluation!$H$2:$H$201,"Grok"),"")</f>
        <v>4.5</v>
      </c>
      <c r="C6" s="5" t="n">
        <f aca="false">IFERROR(AVERAGEIFS(Evaluation!$R$2:$R$201,Evaluation!$B$2:$B$201,A6,Evaluation!$H$2:$H$201,"Gemini"),"")</f>
        <v>4.5</v>
      </c>
    </row>
    <row r="7" customFormat="false" ht="15" hidden="false" customHeight="false" outlineLevel="0" collapsed="false">
      <c r="A7" s="0" t="s">
        <v>101</v>
      </c>
      <c r="B7" s="5" t="n">
        <f aca="false">IFERROR(AVERAGEIFS(Evaluation!$R$2:$R$201,Evaluation!$B$2:$B$201,A7,Evaluation!$H$2:$H$201,"Grok"),"")</f>
        <v>4.725</v>
      </c>
      <c r="C7" s="5" t="n">
        <f aca="false">IFERROR(AVERAGEIFS(Evaluation!$R$2:$R$201,Evaluation!$B$2:$B$201,A7,Evaluation!$H$2:$H$201,"Gemini"),"")</f>
        <v>4.825</v>
      </c>
    </row>
    <row r="8" customFormat="false" ht="15" hidden="false" customHeight="false" outlineLevel="0" collapsed="false">
      <c r="A8" s="0" t="s">
        <v>125</v>
      </c>
      <c r="B8" s="5" t="n">
        <f aca="false">IFERROR(AVERAGEIFS(Evaluation!$R$2:$R$201,Evaluation!$B$2:$B$201,A8,Evaluation!$H$2:$H$201,"Grok"),"")</f>
        <v>4.6</v>
      </c>
      <c r="C8" s="5" t="n">
        <f aca="false">IFERROR(AVERAGEIFS(Evaluation!$R$2:$R$201,Evaluation!$B$2:$B$201,A8,Evaluation!$H$2:$H$201,"Gemini"),"")</f>
        <v>4.825</v>
      </c>
    </row>
    <row r="9" customFormat="false" ht="15" hidden="false" customHeight="false" outlineLevel="0" collapsed="false">
      <c r="A9" s="0" t="s">
        <v>150</v>
      </c>
      <c r="B9" s="5" t="n">
        <f aca="false">IFERROR(AVERAGEIFS(Evaluation!$R$2:$R$201,Evaluation!$B$2:$B$201,A9,Evaluation!$H$2:$H$201,"Grok"),"")</f>
        <v>4.8</v>
      </c>
      <c r="C9" s="5" t="n">
        <f aca="false">IFERROR(AVERAGEIFS(Evaluation!$R$2:$R$201,Evaluation!$B$2:$B$201,A9,Evaluation!$H$2:$H$201,"Gemini"),"")</f>
        <v>5</v>
      </c>
    </row>
    <row r="10" customFormat="false" ht="15" hidden="false" customHeight="false" outlineLevel="0" collapsed="false">
      <c r="A10" s="0" t="s">
        <v>175</v>
      </c>
      <c r="B10" s="5" t="n">
        <f aca="false">IFERROR(AVERAGEIFS(Evaluation!$R$2:$R$201,Evaluation!$B$2:$B$201,A10,Evaluation!$H$2:$H$201,"Grok"),"")</f>
        <v>4.5</v>
      </c>
      <c r="C10" s="5" t="n">
        <f aca="false">IFERROR(AVERAGEIFS(Evaluation!$R$2:$R$201,Evaluation!$B$2:$B$201,A10,Evaluation!$H$2:$H$201,"Gemini"),"")</f>
        <v>4.5</v>
      </c>
    </row>
    <row r="11" customFormat="false" ht="15" hidden="false" customHeight="false" outlineLevel="0" collapsed="false">
      <c r="A11" s="0" t="s">
        <v>195</v>
      </c>
      <c r="B11" s="5" t="n">
        <f aca="false">IFERROR(AVERAGEIFS(Evaluation!$R$2:$R$201,Evaluation!$B$2:$B$201,A11,Evaluation!$H$2:$H$201,"Grok"),"")</f>
        <v>4.75</v>
      </c>
      <c r="C11" s="5" t="n">
        <f aca="false">IFERROR(AVERAGEIFS(Evaluation!$R$2:$R$201,Evaluation!$B$2:$B$201,A11,Evaluation!$H$2:$H$201,"Gemini"),"")</f>
        <v>5</v>
      </c>
    </row>
    <row r="12" customFormat="false" ht="15" hidden="false" customHeight="false" outlineLevel="0" collapsed="false">
      <c r="A12" s="0" t="s">
        <v>219</v>
      </c>
      <c r="B12" s="5" t="n">
        <f aca="false">IFERROR(AVERAGEIFS(Evaluation!$R$2:$R$201,Evaluation!$B$2:$B$201,A12,Evaluation!$H$2:$H$201,"Grok"),"")</f>
        <v>4.8</v>
      </c>
      <c r="C12" s="5" t="n">
        <f aca="false">IFERROR(AVERAGEIFS(Evaluation!$R$2:$R$201,Evaluation!$B$2:$B$201,A12,Evaluation!$H$2:$H$201,"Gemini"),"")</f>
        <v>5</v>
      </c>
    </row>
    <row r="13" customFormat="false" ht="15" hidden="false" customHeight="false" outlineLevel="0" collapsed="false">
      <c r="A13" s="0" t="s">
        <v>243</v>
      </c>
      <c r="B13" s="5" t="n">
        <f aca="false">IFERROR(AVERAGEIFS(Evaluation!$R$2:$R$201,Evaluation!$B$2:$B$201,A13,Evaluation!$H$2:$H$201,"Grok"),"")</f>
        <v>4.75</v>
      </c>
      <c r="C13" s="5" t="n">
        <f aca="false">IFERROR(AVERAGEIFS(Evaluation!$R$2:$R$201,Evaluation!$B$2:$B$201,A13,Evaluation!$H$2:$H$201,"Gemini"),"")</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3" min="2" style="0" width="15"/>
  </cols>
  <sheetData>
    <row r="1" customFormat="false" ht="18.75" hidden="false" customHeight="true" outlineLevel="0" collapsed="false">
      <c r="A1" s="19" t="s">
        <v>342</v>
      </c>
    </row>
    <row r="3" customFormat="false" ht="15" hidden="false" customHeight="false" outlineLevel="0" collapsed="false">
      <c r="A3" s="25" t="s">
        <v>14</v>
      </c>
      <c r="B3" s="25" t="s">
        <v>343</v>
      </c>
      <c r="C3" s="25" t="s">
        <v>344</v>
      </c>
    </row>
    <row r="4" customFormat="false" ht="15" hidden="false" customHeight="false" outlineLevel="0" collapsed="false">
      <c r="A4" s="0" t="s">
        <v>270</v>
      </c>
      <c r="B4" s="0" t="n">
        <f aca="false">COUNTIFS(Evaluation!$H$2:$H$201,"Grok",Evaluation!$S$2:$S$201,"factual error")</f>
        <v>13</v>
      </c>
      <c r="C4" s="0" t="n">
        <f aca="false">COUNTIFS(Evaluation!$H$2:$H$201,"Gemini",Evaluation!$S$2:$S$201,"factual error")</f>
        <v>0</v>
      </c>
    </row>
    <row r="5" customFormat="false" ht="15" hidden="false" customHeight="false" outlineLevel="0" collapsed="false">
      <c r="A5" s="0" t="s">
        <v>345</v>
      </c>
      <c r="B5" s="0" t="n">
        <f aca="false">COUNTIFS(Evaluation!$H$2:$H$201,"Grok",Evaluation!$S$2:$S$201,"hallucination")</f>
        <v>0</v>
      </c>
      <c r="C5" s="0" t="n">
        <f aca="false">COUNTIFS(Evaluation!$H$2:$H$201,"Gemini",Evaluation!$S$2:$S$201,"hallucination")</f>
        <v>0</v>
      </c>
    </row>
    <row r="6" customFormat="false" ht="15" hidden="false" customHeight="false" outlineLevel="0" collapsed="false">
      <c r="A6" s="0" t="s">
        <v>346</v>
      </c>
      <c r="B6" s="0" t="n">
        <f aca="false">COUNTIFS(Evaluation!$H$2:$H$201,"Grok",Evaluation!$S$2:$S$201,"incorrect reasoning")</f>
        <v>0</v>
      </c>
      <c r="C6" s="0" t="n">
        <f aca="false">COUNTIFS(Evaluation!$H$2:$H$201,"Gemini",Evaluation!$S$2:$S$201,"incorrect reasoning")</f>
        <v>0</v>
      </c>
    </row>
    <row r="7" customFormat="false" ht="15" hidden="false" customHeight="false" outlineLevel="0" collapsed="false">
      <c r="A7" s="0" t="s">
        <v>347</v>
      </c>
      <c r="B7" s="0" t="n">
        <f aca="false">COUNTIFS(Evaluation!$H$2:$H$201,"Grok",Evaluation!$S$2:$S$201,"incomplete answer")</f>
        <v>0</v>
      </c>
      <c r="C7" s="0" t="n">
        <f aca="false">COUNTIFS(Evaluation!$H$2:$H$201,"Gemini",Evaluation!$S$2:$S$201,"incomplete answer")</f>
        <v>0</v>
      </c>
    </row>
    <row r="8" customFormat="false" ht="15" hidden="false" customHeight="false" outlineLevel="0" collapsed="false">
      <c r="A8" s="0" t="s">
        <v>348</v>
      </c>
      <c r="B8" s="0" t="n">
        <f aca="false">COUNTIFS(Evaluation!$H$2:$H$201,"Grok",Evaluation!$S$2:$S$201,"instruction failure")</f>
        <v>0</v>
      </c>
      <c r="C8" s="0" t="n">
        <f aca="false">COUNTIFS(Evaluation!$H$2:$H$201,"Gemini",Evaluation!$S$2:$S$201,"instruction failure")</f>
        <v>0</v>
      </c>
    </row>
    <row r="9" customFormat="false" ht="15" hidden="false" customHeight="false" outlineLevel="0" collapsed="false">
      <c r="A9" s="0" t="s">
        <v>349</v>
      </c>
      <c r="B9" s="0" t="n">
        <f aca="false">COUNTIFS(Evaluation!$H$2:$H$201,"Grok",Evaluation!$S$2:$S$201,"unclear explanation")</f>
        <v>0</v>
      </c>
      <c r="C9" s="0" t="n">
        <f aca="false">COUNTIFS(Evaluation!$H$2:$H$201,"Gemini",Evaluation!$S$2:$S$201,"unclear explanation")</f>
        <v>0</v>
      </c>
    </row>
    <row r="10" customFormat="false" ht="15" hidden="false" customHeight="false" outlineLevel="0" collapsed="false">
      <c r="A10" s="0" t="s">
        <v>350</v>
      </c>
      <c r="B10" s="0" t="n">
        <f aca="false">COUNTIFS(Evaluation!$H$2:$H$201,"Grok",Evaluation!$S$2:$S$201,"bias issue")</f>
        <v>0</v>
      </c>
      <c r="C10" s="0" t="n">
        <f aca="false">COUNTIFS(Evaluation!$H$2:$H$201,"Gemini",Evaluation!$S$2:$S$201,"bias issue")</f>
        <v>0</v>
      </c>
    </row>
    <row r="11" customFormat="false" ht="15" hidden="false" customHeight="false" outlineLevel="0" collapsed="false">
      <c r="A11" s="0" t="s">
        <v>351</v>
      </c>
      <c r="B11" s="0" t="n">
        <f aca="false">COUNTIFS(Evaluation!$H$2:$H$201,"Grok",Evaluation!$S$2:$S$201,"safety concern")</f>
        <v>0</v>
      </c>
      <c r="C11" s="0" t="n">
        <f aca="false">COUNTIFS(Evaluation!$H$2:$H$201,"Gemini",Evaluation!$S$2:$S$201,"safety concern")</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5"/>
    <col collapsed="false" customWidth="true" hidden="false" outlineLevel="0" max="3" min="2" style="0" width="20"/>
  </cols>
  <sheetData>
    <row r="1" customFormat="false" ht="18.75" hidden="false" customHeight="true" outlineLevel="0" collapsed="false">
      <c r="A1" s="19" t="s">
        <v>352</v>
      </c>
    </row>
    <row r="3" customFormat="false" ht="15" hidden="false" customHeight="false" outlineLevel="0" collapsed="false">
      <c r="A3" s="4" t="s">
        <v>17</v>
      </c>
      <c r="B3" s="4" t="s">
        <v>340</v>
      </c>
      <c r="C3" s="4" t="s">
        <v>341</v>
      </c>
    </row>
    <row r="4" customFormat="false" ht="15" hidden="false" customHeight="false" outlineLevel="0" collapsed="false">
      <c r="A4" s="0" t="s">
        <v>34</v>
      </c>
      <c r="B4" s="5" t="n">
        <f aca="false">IFERROR(AVERAGEIFS(Evaluation!$R$2:$R$201,Evaluation!$D$2:$D$201,A4,Evaluation!$H$2:$H$201,"Grok"),"")</f>
        <v>4.55</v>
      </c>
      <c r="C4" s="5" t="n">
        <f aca="false">IFERROR(AVERAGEIFS(Evaluation!$R$2:$R$201,Evaluation!$D$2:$D$201,A4,Evaluation!$H$2:$H$201,"Gemini"),"")</f>
        <v>4.60833333333333</v>
      </c>
    </row>
    <row r="5" customFormat="false" ht="15" hidden="false" customHeight="false" outlineLevel="0" collapsed="false">
      <c r="A5" s="0" t="s">
        <v>62</v>
      </c>
      <c r="B5" s="5" t="n">
        <f aca="false">IFERROR(AVERAGEIFS(Evaluation!$R$2:$R$201,Evaluation!$D$2:$D$201,A5,Evaluation!$H$2:$H$201,"Grok"),"")</f>
        <v>4.68333333333333</v>
      </c>
      <c r="C5" s="5" t="n">
        <f aca="false">IFERROR(AVERAGEIFS(Evaluation!$R$2:$R$201,Evaluation!$D$2:$D$201,A5,Evaluation!$H$2:$H$201,"Gemini"),"")</f>
        <v>4.82916666666667</v>
      </c>
    </row>
    <row r="6" customFormat="false" ht="15" hidden="false" customHeight="false" outlineLevel="0" collapsed="false">
      <c r="A6" s="0" t="s">
        <v>245</v>
      </c>
      <c r="B6" s="5" t="n">
        <f aca="false">IFERROR(AVERAGEIFS(Evaluation!$R$2:$R$201,Evaluation!$D$2:$D$201,A6,Evaluation!$H$2:$H$201,"Grok"),"")</f>
        <v>4.75</v>
      </c>
      <c r="C6" s="5" t="n">
        <f aca="false">IFERROR(AVERAGEIFS(Evaluation!$R$2:$R$201,Evaluation!$D$2:$D$201,A6,Evaluation!$H$2:$H$201,"Gemini"),"")</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3" min="2" style="0" width="12"/>
  </cols>
  <sheetData>
    <row r="1" customFormat="false" ht="18.75" hidden="false" customHeight="true" outlineLevel="0" collapsed="false">
      <c r="A1" s="19" t="s">
        <v>353</v>
      </c>
    </row>
    <row r="3" customFormat="false" ht="15" hidden="false" customHeight="false" outlineLevel="0" collapsed="false">
      <c r="A3" s="4" t="s">
        <v>8</v>
      </c>
      <c r="B3" s="4" t="s">
        <v>9</v>
      </c>
      <c r="C3" s="4" t="s">
        <v>10</v>
      </c>
    </row>
    <row r="4" customFormat="false" ht="15" hidden="false" customHeight="false" outlineLevel="0" collapsed="false">
      <c r="A4" s="0" t="s">
        <v>354</v>
      </c>
      <c r="B4" s="5" t="n">
        <f aca="false">IFERROR(AVERAGEIFS(Evaluation!$K$2:$K$201,Evaluation!$F$2:$F$201,"Yes",Evaluation!$H$2:$H$201,"Grok"),"")</f>
        <v>4.78333333333333</v>
      </c>
      <c r="C4" s="5" t="n">
        <f aca="false">IFERROR(AVERAGEIFS(Evaluation!$K$2:$K$201,Evaluation!$F$2:$F$201,"Yes",Evaluation!$H$2:$H$201,"Gemini"),"")</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0"/>
    <col collapsed="false" customWidth="true" hidden="false" outlineLevel="0" max="7" min="2" style="0" width="16"/>
  </cols>
  <sheetData>
    <row r="1" customFormat="false" ht="21" hidden="false" customHeight="true" outlineLevel="0" collapsed="false">
      <c r="A1" s="26" t="s">
        <v>355</v>
      </c>
    </row>
    <row r="3" customFormat="false" ht="15" hidden="false" customHeight="false" outlineLevel="0" collapsed="false">
      <c r="A3" s="4" t="s">
        <v>356</v>
      </c>
      <c r="B3" s="4" t="s">
        <v>4</v>
      </c>
      <c r="C3" s="4" t="s">
        <v>357</v>
      </c>
      <c r="D3" s="4" t="s">
        <v>6</v>
      </c>
      <c r="E3" s="4" t="s">
        <v>7</v>
      </c>
      <c r="F3" s="4" t="s">
        <v>24</v>
      </c>
      <c r="G3" s="4" t="s">
        <v>26</v>
      </c>
    </row>
    <row r="4" customFormat="false" ht="15" hidden="false" customHeight="false" outlineLevel="0" collapsed="false">
      <c r="A4" s="0" t="n">
        <f aca="false">RANK(C4,$C$4:$C$5,0)</f>
        <v>1</v>
      </c>
      <c r="B4" s="0" t="s">
        <v>10</v>
      </c>
      <c r="C4" s="5" t="n">
        <f aca="false">Summary!C8</f>
        <v>4.78</v>
      </c>
      <c r="D4" s="5" t="n">
        <f aca="false">Summary!C4</f>
        <v>5</v>
      </c>
      <c r="E4" s="5" t="n">
        <f aca="false">Summary!C5</f>
        <v>4.55</v>
      </c>
      <c r="F4" s="5" t="n">
        <f aca="false">Summary!C6</f>
        <v>4.57</v>
      </c>
      <c r="G4" s="5" t="n">
        <f aca="false">Summary!C7</f>
        <v>5</v>
      </c>
    </row>
    <row r="5" customFormat="false" ht="15" hidden="false" customHeight="false" outlineLevel="0" collapsed="false">
      <c r="A5" s="0" t="n">
        <f aca="false">RANK(C5,$C$4:$C$5,0)</f>
        <v>2</v>
      </c>
      <c r="B5" s="0" t="s">
        <v>9</v>
      </c>
      <c r="C5" s="5" t="n">
        <f aca="false">Summary!B8</f>
        <v>4.65</v>
      </c>
      <c r="D5" s="5" t="n">
        <f aca="false">Summary!B4</f>
        <v>4.5</v>
      </c>
      <c r="E5" s="5" t="n">
        <f aca="false">Summary!B5</f>
        <v>4.53</v>
      </c>
      <c r="F5" s="5" t="n">
        <f aca="false">Summary!B6</f>
        <v>4.57</v>
      </c>
      <c r="G5" s="5" t="n">
        <f aca="false">Summary!B7</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3" min="2" style="0" width="12"/>
  </cols>
  <sheetData>
    <row r="1" customFormat="false" ht="18.75" hidden="false" customHeight="true" outlineLevel="0" collapsed="false">
      <c r="A1" s="19" t="s">
        <v>358</v>
      </c>
    </row>
    <row r="3" customFormat="false" ht="15" hidden="false" customHeight="false" outlineLevel="0" collapsed="false">
      <c r="A3" s="4" t="s">
        <v>13</v>
      </c>
      <c r="B3" s="4" t="s">
        <v>9</v>
      </c>
      <c r="C3" s="4" t="s">
        <v>10</v>
      </c>
    </row>
    <row r="4" customFormat="false" ht="15" hidden="false" customHeight="false" outlineLevel="0" collapsed="false">
      <c r="A4" s="0" t="str">
        <f aca="false">Category_Analysis!A4</f>
        <v>Factual Knowledge</v>
      </c>
      <c r="B4" s="5" t="n">
        <f aca="false">Category_Analysis!B4</f>
        <v>4.55</v>
      </c>
      <c r="C4" s="5" t="n">
        <f aca="false">Category_Analysis!C4</f>
        <v>4.5</v>
      </c>
    </row>
    <row r="5" customFormat="false" ht="15" hidden="false" customHeight="false" outlineLevel="0" collapsed="false">
      <c r="A5" s="0" t="str">
        <f aca="false">Category_Analysis!A5</f>
        <v>Logical Reasoning</v>
      </c>
      <c r="B5" s="5" t="n">
        <f aca="false">Category_Analysis!B5</f>
        <v>4.525</v>
      </c>
      <c r="C5" s="5" t="n">
        <f aca="false">Category_Analysis!C5</f>
        <v>4.65</v>
      </c>
    </row>
    <row r="6" customFormat="false" ht="15" hidden="false" customHeight="false" outlineLevel="0" collapsed="false">
      <c r="A6" s="0" t="str">
        <f aca="false">Category_Analysis!A6</f>
        <v>Mathematics</v>
      </c>
      <c r="B6" s="5" t="n">
        <f aca="false">Category_Analysis!B6</f>
        <v>4.5</v>
      </c>
      <c r="C6" s="5" t="n">
        <f aca="false">Category_Analysis!C6</f>
        <v>4.5</v>
      </c>
    </row>
    <row r="7" customFormat="false" ht="15" hidden="false" customHeight="false" outlineLevel="0" collapsed="false">
      <c r="A7" s="0" t="str">
        <f aca="false">Category_Analysis!A7</f>
        <v>Reading Comprehension</v>
      </c>
      <c r="B7" s="5" t="n">
        <f aca="false">Category_Analysis!B7</f>
        <v>4.725</v>
      </c>
      <c r="C7" s="5" t="n">
        <f aca="false">Category_Analysis!C7</f>
        <v>4.825</v>
      </c>
    </row>
    <row r="8" customFormat="false" ht="15" hidden="false" customHeight="false" outlineLevel="0" collapsed="false">
      <c r="A8" s="0" t="str">
        <f aca="false">Category_Analysis!A8</f>
        <v>Instruction Following</v>
      </c>
      <c r="B8" s="5" t="n">
        <f aca="false">Category_Analysis!B8</f>
        <v>4.6</v>
      </c>
      <c r="C8" s="5" t="n">
        <f aca="false">Category_Analysis!C8</f>
        <v>4.825</v>
      </c>
    </row>
    <row r="9" customFormat="false" ht="15" hidden="false" customHeight="false" outlineLevel="0" collapsed="false">
      <c r="A9" s="0" t="str">
        <f aca="false">Category_Analysis!A9</f>
        <v>Explanation / Teaching Ability</v>
      </c>
      <c r="B9" s="5" t="n">
        <f aca="false">Category_Analysis!B9</f>
        <v>4.8</v>
      </c>
      <c r="C9" s="5" t="n">
        <f aca="false">Category_Analysis!C9</f>
        <v>5</v>
      </c>
    </row>
    <row r="10" customFormat="false" ht="15" hidden="false" customHeight="false" outlineLevel="0" collapsed="false">
      <c r="A10" s="0" t="str">
        <f aca="false">Category_Analysis!A10</f>
        <v>Multi-Step Problem Solving</v>
      </c>
      <c r="B10" s="5" t="n">
        <f aca="false">Category_Analysis!B10</f>
        <v>4.5</v>
      </c>
      <c r="C10" s="5" t="n">
        <f aca="false">Category_Analysis!C10</f>
        <v>4.5</v>
      </c>
    </row>
    <row r="11" customFormat="false" ht="15" hidden="false" customHeight="false" outlineLevel="0" collapsed="false">
      <c r="A11" s="0" t="str">
        <f aca="false">Category_Analysis!A11</f>
        <v>Creative Generation</v>
      </c>
      <c r="B11" s="5" t="n">
        <f aca="false">Category_Analysis!B11</f>
        <v>4.75</v>
      </c>
      <c r="C11" s="5" t="n">
        <f aca="false">Category_Analysis!C11</f>
        <v>5</v>
      </c>
    </row>
    <row r="12" customFormat="false" ht="15" hidden="false" customHeight="false" outlineLevel="0" collapsed="false">
      <c r="A12" s="0" t="str">
        <f aca="false">Category_Analysis!A12</f>
        <v>Ethics &amp; Safety</v>
      </c>
      <c r="B12" s="5" t="n">
        <f aca="false">Category_Analysis!B12</f>
        <v>4.8</v>
      </c>
      <c r="C12" s="5" t="n">
        <f aca="false">Category_Analysis!C12</f>
        <v>5</v>
      </c>
    </row>
    <row r="13" customFormat="false" ht="15" hidden="false" customHeight="false" outlineLevel="0" collapsed="false">
      <c r="A13" s="0" t="str">
        <f aca="false">Category_Analysis!A13</f>
        <v>Ambiguity &amp; Clarification</v>
      </c>
      <c r="B13" s="5" t="n">
        <f aca="false">Category_Analysis!B13</f>
        <v>4.75</v>
      </c>
      <c r="C13" s="5" t="n">
        <f aca="false">Category_Analysis!C13</f>
        <v>5</v>
      </c>
    </row>
  </sheetData>
  <conditionalFormatting sqref="B4:C13">
    <cfRule type="colorScale" priority="2">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2026-03-07T11:29:27Z</dcterms:created>
  <dc:creator>openpyxl</dc:creator>
  <dc:description/>
  <dc:language>en-US</dc:language>
  <cp:lastModifiedBy>Macdonald, William</cp:lastModifiedBy>
  <dcterms:modified xsi:type="dcterms:W3CDTF">2026-03-07T13:27:43Z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